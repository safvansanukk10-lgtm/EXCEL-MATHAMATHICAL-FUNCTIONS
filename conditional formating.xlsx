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5ba9f4b5e1762809/Desktop/DATA ANALYSIS/"/>
    </mc:Choice>
  </mc:AlternateContent>
  <xr:revisionPtr revIDLastSave="1" documentId="8_{ED51E474-AAEE-4865-8D96-50B9583A7B6E}" xr6:coauthVersionLast="47" xr6:coauthVersionMax="47" xr10:uidLastSave="{B9FAF071-1CDE-442C-82C8-EFD53C5ECB94}"/>
  <bookViews>
    <workbookView xWindow="-110" yWindow="-110" windowWidth="19420" windowHeight="10300" xr2:uid="{00000000-000D-0000-FFFF-FFFF00000000}"/>
  </bookViews>
  <sheets>
    <sheet name="Dataset" sheetId="1" r:id="rId1"/>
    <sheet name="Data Validation Pract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3" i="1" l="1"/>
  <c r="G27" i="1"/>
  <c r="G26" i="1"/>
  <c r="G22" i="1"/>
  <c r="G19" i="1"/>
  <c r="G18" i="1"/>
  <c r="G17" i="1"/>
  <c r="I2" i="1" a="1"/>
  <c r="I3" i="1" a="1"/>
  <c r="I4" i="1" a="1"/>
  <c r="I5" i="1" a="1"/>
  <c r="I6" i="1" a="1"/>
  <c r="I7" i="1" a="1"/>
  <c r="I8" i="1" a="1"/>
  <c r="I9" i="1" a="1"/>
  <c r="I10" i="1" a="1"/>
  <c r="I11" i="1" a="1"/>
  <c r="I11" i="1"/>
  <c r="I10" i="1"/>
  <c r="I9" i="1"/>
  <c r="I8" i="1"/>
  <c r="I7" i="1"/>
  <c r="I6" i="1"/>
  <c r="I5" i="1"/>
  <c r="I4" i="1"/>
  <c r="I3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<sst xmlns="http://schemas.openxmlformats.org/spreadsheetml/2006/main" count="74" uniqueCount="46">
  <si>
    <t>Employee ID</t>
  </si>
  <si>
    <t>Employee</t>
  </si>
  <si>
    <t>Region</t>
  </si>
  <si>
    <t>Department</t>
  </si>
  <si>
    <t>Category</t>
  </si>
  <si>
    <t>Sales</t>
  </si>
  <si>
    <t>Quantity</t>
  </si>
  <si>
    <t>Rating</t>
  </si>
  <si>
    <t>E001</t>
  </si>
  <si>
    <t>Anu</t>
  </si>
  <si>
    <t>North</t>
  </si>
  <si>
    <t>Furniture</t>
  </si>
  <si>
    <t>E002</t>
  </si>
  <si>
    <t>Rahul</t>
  </si>
  <si>
    <t>South</t>
  </si>
  <si>
    <t>Electronics</t>
  </si>
  <si>
    <t>E003</t>
  </si>
  <si>
    <t>Meera</t>
  </si>
  <si>
    <t>Finance</t>
  </si>
  <si>
    <t>E004</t>
  </si>
  <si>
    <t>Arjun</t>
  </si>
  <si>
    <t>East</t>
  </si>
  <si>
    <t>E005</t>
  </si>
  <si>
    <t>Sara</t>
  </si>
  <si>
    <t>E006</t>
  </si>
  <si>
    <t>Vivek</t>
  </si>
  <si>
    <t>West</t>
  </si>
  <si>
    <t>HR</t>
  </si>
  <si>
    <t>Office Supplies</t>
  </si>
  <si>
    <t>E007</t>
  </si>
  <si>
    <t>Neha</t>
  </si>
  <si>
    <t>E008</t>
  </si>
  <si>
    <t>Kiran</t>
  </si>
  <si>
    <t>E009</t>
  </si>
  <si>
    <t>Riya</t>
  </si>
  <si>
    <t>E010</t>
  </si>
  <si>
    <t>Amit</t>
  </si>
  <si>
    <t>Field</t>
  </si>
  <si>
    <t>Student Entry</t>
  </si>
  <si>
    <t>sales level</t>
  </si>
  <si>
    <t>tottal sales of furniture</t>
  </si>
  <si>
    <t>avg sales</t>
  </si>
  <si>
    <t>Column1</t>
  </si>
  <si>
    <t>Column2</t>
  </si>
  <si>
    <t>sold office suplies</t>
  </si>
  <si>
    <t>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</si>
</sst>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fgColor theme="4"/>
        </patternFill>
      </fill>
    </dxf>
    <dxf>
      <fill>
        <patternFill>
          <fgColor theme="4"/>
        </patternFill>
      </fill>
    </dxf>
    <dxf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fgColor theme="4"/>
        </patternFill>
      </fill>
    </dxf>
    <dxf>
      <fill>
        <patternFill>
          <fgColor theme="4"/>
        </patternFill>
      </fill>
    </dxf>
    <dxf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fgColor theme="4"/>
        </patternFill>
      </fill>
    </dxf>
    <dxf>
      <fill>
        <patternFill>
          <fgColor theme="4"/>
        </patternFill>
      </fill>
    </dxf>
    <dxf>
      <fill>
        <patternFill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0" formatCode="General"/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ill>
        <patternFill>
          <bgColor theme="4" tint="0.59996337778862885"/>
        </patternFill>
      </fill>
      <border diagonalDown="1">
        <diagonal style="thin">
          <color auto="1"/>
        </diagonal>
        <vertical style="thin">
          <color auto="1"/>
        </vertical>
        <horizontal style="thin">
          <color auto="1"/>
        </horizontal>
      </border>
    </dxf>
  </dxfs>
  <tableStyles count="2" defaultTableStyle="TableStyleMedium9" defaultPivotStyle="PivotStyleLight16">
    <tableStyle name="Table Style 1" pivot="0" count="0" xr9:uid="{F19791C7-667A-4641-99B8-60CFDB638A35}"/>
    <tableStyle name="Table Style 2" pivot="0" count="1" xr9:uid="{9B289B05-D7B0-794A-B8F3-E3D6BECEE4B8}">
      <tableStyleElement type="wholeTable" dxfId="4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146EA9-B0D7-0543-917C-A47FA5173462}" name="Table1" displayName="Table1" ref="A1:I11" totalsRowShown="0" headerRowDxfId="44" dataDxfId="43">
  <autoFilter ref="A1:I11" xr:uid="{37146EA9-B0D7-0543-917C-A47FA5173462}"/>
  <tableColumns count="9">
    <tableColumn id="1" xr3:uid="{E7DA2694-37AE-1449-A413-6E414BF0E790}" name="Employee ID" dataDxfId="42"/>
    <tableColumn id="2" xr3:uid="{2988E814-7571-4A42-A7F9-5D2EA6450310}" name="Employee" dataDxfId="41"/>
    <tableColumn id="3" xr3:uid="{DDD1D6CA-5EC8-4940-9ACD-F6A65AB15E45}" name="Region" dataDxfId="40"/>
    <tableColumn id="4" xr3:uid="{F0CD46D5-68D5-C04B-BF9D-C8A2DE763E89}" name="Department" dataDxfId="39"/>
    <tableColumn id="5" xr3:uid="{520E6996-616E-304C-A79E-E3B746CF8271}" name="Category" dataDxfId="38"/>
    <tableColumn id="6" xr3:uid="{4E5C0FC2-CAFE-6F43-BA38-BC7A74EC9BE9}" name="Sales" dataDxfId="37"/>
    <tableColumn id="7" xr3:uid="{2837D70C-4FD8-F245-974F-E12D62D2560F}" name="Quantity" dataDxfId="36"/>
    <tableColumn id="8" xr3:uid="{5483CD6D-BD2C-664E-A492-D1A94BD11F60}" name="Rating" dataDxfId="35"/>
    <tableColumn id="9" xr3:uid="{45FB0506-8B7A-2D42-AC2F-DA516B7C118B}" name="sales level" dataDxfId="34">
      <calculatedColumnFormula array="1">_xlfn.IFS(Table1[[#This Row],[Sales]]&gt;=70000,"excellent",Table1[[#This Row],[Sales]]&gt;=50000,"good",Table1[[#This Row],[Sales]]&gt;=30000,"average",Table1[[#This Row],[Sales]]&lt;=30000,"low")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4DE342E-C2BF-DD49-B00F-23A3F8936F71}" name="Table3" displayName="Table3" ref="F16:G19" totalsRowShown="0">
  <autoFilter ref="F16:G19" xr:uid="{04DE342E-C2BF-DD49-B00F-23A3F8936F71}"/>
  <tableColumns count="2">
    <tableColumn id="1" xr3:uid="{40F97B09-0782-914E-93A2-FA62263CBCFD}" name="Column1"/>
    <tableColumn id="2" xr3:uid="{5242F65E-0B61-1D40-A124-62C5D1F28039}" name="Column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D2F3A-C898-6842-80AC-9339AAA6FCF2}" name="Table4" displayName="Table4" ref="F21:G23" totalsRowShown="0">
  <autoFilter ref="F21:G23" xr:uid="{800D2F3A-C898-6842-80AC-9339AAA6FCF2}"/>
  <tableColumns count="2">
    <tableColumn id="1" xr3:uid="{053AEB09-6B1F-CE4B-8546-2DFFC0A4799C}" name="Column1"/>
    <tableColumn id="2" xr3:uid="{7A67867B-38A5-7843-B6A3-24F3DBB379E2}" name="Column2">
      <calculatedColumnFormula>COUNTIFS(Table1[Region],C1,Table1[Rating],"&gt;=4")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78044F-33A2-FF49-AF5E-980D8158BA29}" name="Table5" displayName="Table5" ref="F25:G27" totalsRowShown="0">
  <autoFilter ref="F25:G27" xr:uid="{1078044F-33A2-FF49-AF5E-980D8158BA29}"/>
  <tableColumns count="2">
    <tableColumn id="1" xr3:uid="{D16D45B4-1E85-7F40-8A99-C290971D9440}" name="Column1"/>
    <tableColumn id="2" xr3:uid="{58C9D969-B38B-6940-9E36-7CDE688B0F76}" name="Column2">
      <calculatedColumnFormula>SUMIFS(Table1[Sales],Table1[Region],C2,Table1[Department],D1)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2601AB-EDD7-034B-8788-2FD0AEF6E846}" name="Table6" displayName="Table6" ref="A1:B4" totalsRowShown="0" headerRowDxfId="33">
  <autoFilter ref="A1:B4" xr:uid="{7C2601AB-EDD7-034B-8788-2FD0AEF6E846}"/>
  <tableColumns count="2">
    <tableColumn id="1" xr3:uid="{4E1D09A8-50CA-D243-A9DA-52F7E1130C5B}" name="Field"/>
    <tableColumn id="2" xr3:uid="{AE543749-9F0A-B744-8061-74027FF4152E}" name="Student E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abSelected="1" zoomScale="94" workbookViewId="0">
      <pane ySplit="1" topLeftCell="A2" activePane="bottomLeft" state="frozen"/>
      <selection pane="bottomLeft" activeCell="K6" sqref="K6"/>
    </sheetView>
  </sheetViews>
  <sheetFormatPr defaultColWidth="8.81640625" defaultRowHeight="14.5" x14ac:dyDescent="0.35"/>
  <cols>
    <col min="1" max="1" width="13.1796875" customWidth="1"/>
    <col min="2" max="3" width="12" customWidth="1"/>
    <col min="4" max="4" width="13" customWidth="1"/>
    <col min="5" max="5" width="17" customWidth="1"/>
    <col min="6" max="6" width="19" customWidth="1"/>
    <col min="7" max="8" width="12" customWidth="1"/>
    <col min="9" max="9" width="11.6328125" customWidth="1"/>
  </cols>
  <sheetData>
    <row r="1" spans="1: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39</v>
      </c>
    </row>
    <row r="2" spans="1:9" x14ac:dyDescent="0.35">
      <c r="A2" s="3" t="s">
        <v>8</v>
      </c>
      <c r="B2" s="3" t="s">
        <v>9</v>
      </c>
      <c r="C2" s="3" t="s">
        <v>10</v>
      </c>
      <c r="D2" s="3" t="s">
        <v>5</v>
      </c>
      <c r="E2" s="3" t="s">
        <v>11</v>
      </c>
      <c r="F2" s="3">
        <v>45000</v>
      </c>
      <c r="G2" s="3">
        <v>5</v>
      </c>
      <c r="H2" s="3">
        <v>4</v>
      </c>
      <c r="I2" s="4" t="str" cm="1">
        <f t="array" ref="I2">_xlfn.IFS(Table1[[#This Row],[Sales]]&gt;=70000,"excellent",Table1[[#This Row],[Sales]]&gt;=50000,"good",Table1[[#This Row],[Sales]]&gt;=30000,"average",Table1[[#This Row],[Sales]]&lt;=30000,"low")</f>
        <v>average</v>
      </c>
    </row>
    <row r="3" spans="1:9" x14ac:dyDescent="0.35">
      <c r="A3" s="3" t="s">
        <v>12</v>
      </c>
      <c r="B3" s="3" t="s">
        <v>13</v>
      </c>
      <c r="C3" s="3" t="s">
        <v>14</v>
      </c>
      <c r="D3" s="3" t="s">
        <v>5</v>
      </c>
      <c r="E3" s="3" t="s">
        <v>15</v>
      </c>
      <c r="F3" s="3">
        <v>62000</v>
      </c>
      <c r="G3" s="3">
        <v>8</v>
      </c>
      <c r="H3" s="3">
        <v>5</v>
      </c>
      <c r="I3" s="4" t="str" cm="1">
        <f t="array" ref="I3">_xlfn.IFS(Table1[[#This Row],[Sales]]&gt;=70000,"excellent",Table1[[#This Row],[Sales]]&gt;=50000,"good",Table1[[#This Row],[Sales]]&gt;=30000,"average",Table1[[#This Row],[Sales]]&lt;=30000,"low")</f>
        <v>good</v>
      </c>
    </row>
    <row r="4" spans="1:9" x14ac:dyDescent="0.35">
      <c r="A4" s="3" t="s">
        <v>16</v>
      </c>
      <c r="B4" s="3" t="s">
        <v>17</v>
      </c>
      <c r="C4" s="3" t="s">
        <v>10</v>
      </c>
      <c r="D4" s="3" t="s">
        <v>18</v>
      </c>
      <c r="E4" s="3" t="s">
        <v>11</v>
      </c>
      <c r="F4" s="3">
        <v>38000</v>
      </c>
      <c r="G4" s="3">
        <v>4</v>
      </c>
      <c r="H4" s="3">
        <v>3</v>
      </c>
      <c r="I4" s="4" t="str" cm="1">
        <f t="array" ref="I4">_xlfn.IFS(Table1[[#This Row],[Sales]]&gt;=70000,"excellent",Table1[[#This Row],[Sales]]&gt;=50000,"good",Table1[[#This Row],[Sales]]&gt;=30000,"average",Table1[[#This Row],[Sales]]&lt;=30000,"low")</f>
        <v>average</v>
      </c>
    </row>
    <row r="5" spans="1:9" x14ac:dyDescent="0.35">
      <c r="A5" s="3" t="s">
        <v>19</v>
      </c>
      <c r="B5" s="3" t="s">
        <v>20</v>
      </c>
      <c r="C5" s="3" t="s">
        <v>21</v>
      </c>
      <c r="D5" s="3" t="s">
        <v>5</v>
      </c>
      <c r="E5" s="3" t="s">
        <v>15</v>
      </c>
      <c r="F5" s="3">
        <v>72000</v>
      </c>
      <c r="G5" s="3">
        <v>10</v>
      </c>
      <c r="H5" s="3">
        <v>5</v>
      </c>
      <c r="I5" s="4" t="str" cm="1">
        <f t="array" ref="I5">_xlfn.IFS(Table1[[#This Row],[Sales]]&gt;=70000,"excellent",Table1[[#This Row],[Sales]]&gt;=50000,"good",Table1[[#This Row],[Sales]]&gt;=30000,"average",Table1[[#This Row],[Sales]]&lt;=30000,"low")</f>
        <v>excellent</v>
      </c>
    </row>
    <row r="6" spans="1:9" x14ac:dyDescent="0.35">
      <c r="A6" s="3" t="s">
        <v>22</v>
      </c>
      <c r="B6" s="3" t="s">
        <v>23</v>
      </c>
      <c r="C6" s="3" t="s">
        <v>10</v>
      </c>
      <c r="D6" s="3" t="s">
        <v>5</v>
      </c>
      <c r="E6" s="3" t="s">
        <v>11</v>
      </c>
      <c r="F6" s="3">
        <v>55000</v>
      </c>
      <c r="G6" s="3">
        <v>6</v>
      </c>
      <c r="H6" s="3">
        <v>4</v>
      </c>
      <c r="I6" s="4" t="str" cm="1">
        <f t="array" ref="I6">_xlfn.IFS(Table1[[#This Row],[Sales]]&gt;=70000,"excellent",Table1[[#This Row],[Sales]]&gt;=50000,"good",Table1[[#This Row],[Sales]]&gt;=30000,"average",Table1[[#This Row],[Sales]]&lt;=30000,"low")</f>
        <v>good</v>
      </c>
    </row>
    <row r="7" spans="1:9" x14ac:dyDescent="0.35">
      <c r="A7" s="3" t="s">
        <v>24</v>
      </c>
      <c r="B7" s="3" t="s">
        <v>25</v>
      </c>
      <c r="C7" s="3" t="s">
        <v>26</v>
      </c>
      <c r="D7" s="3" t="s">
        <v>27</v>
      </c>
      <c r="E7" s="3" t="s">
        <v>28</v>
      </c>
      <c r="F7" s="3">
        <v>29000</v>
      </c>
      <c r="G7" s="3">
        <v>7</v>
      </c>
      <c r="H7" s="3">
        <v>3</v>
      </c>
      <c r="I7" s="4" t="str" cm="1">
        <f t="array" ref="I7">_xlfn.IFS(Table1[[#This Row],[Sales]]&gt;=70000,"excellent",Table1[[#This Row],[Sales]]&gt;=50000,"good",Table1[[#This Row],[Sales]]&gt;=30000,"average",Table1[[#This Row],[Sales]]&lt;=30000,"low")</f>
        <v>low</v>
      </c>
    </row>
    <row r="8" spans="1:9" x14ac:dyDescent="0.35">
      <c r="A8" s="3" t="s">
        <v>29</v>
      </c>
      <c r="B8" s="3" t="s">
        <v>30</v>
      </c>
      <c r="C8" s="3" t="s">
        <v>14</v>
      </c>
      <c r="D8" s="3" t="s">
        <v>5</v>
      </c>
      <c r="E8" s="3" t="s">
        <v>11</v>
      </c>
      <c r="F8" s="3">
        <v>48000</v>
      </c>
      <c r="G8" s="3">
        <v>5</v>
      </c>
      <c r="H8" s="3">
        <v>4</v>
      </c>
      <c r="I8" s="4" t="str" cm="1">
        <f t="array" ref="I8">_xlfn.IFS(Table1[[#This Row],[Sales]]&gt;=70000,"excellent",Table1[[#This Row],[Sales]]&gt;=50000,"good",Table1[[#This Row],[Sales]]&gt;=30000,"average",Table1[[#This Row],[Sales]]&lt;=30000,"low")</f>
        <v>average</v>
      </c>
    </row>
    <row r="9" spans="1:9" x14ac:dyDescent="0.35">
      <c r="A9" s="3" t="s">
        <v>31</v>
      </c>
      <c r="B9" s="3" t="s">
        <v>32</v>
      </c>
      <c r="C9" s="3" t="s">
        <v>10</v>
      </c>
      <c r="D9" s="3" t="s">
        <v>5</v>
      </c>
      <c r="E9" s="3" t="s">
        <v>15</v>
      </c>
      <c r="F9" s="3">
        <v>81000</v>
      </c>
      <c r="G9" s="3">
        <v>12</v>
      </c>
      <c r="H9" s="3">
        <v>5</v>
      </c>
      <c r="I9" s="4" t="str" cm="1">
        <f t="array" ref="I9">_xlfn.IFS(Table1[[#This Row],[Sales]]&gt;=70000,"excellent",Table1[[#This Row],[Sales]]&gt;=50000,"good",Table1[[#This Row],[Sales]]&gt;=30000,"average",Table1[[#This Row],[Sales]]&lt;=30000,"low")</f>
        <v>excellent</v>
      </c>
    </row>
    <row r="10" spans="1:9" x14ac:dyDescent="0.35">
      <c r="A10" s="3" t="s">
        <v>33</v>
      </c>
      <c r="B10" s="3" t="s">
        <v>34</v>
      </c>
      <c r="C10" s="3" t="s">
        <v>21</v>
      </c>
      <c r="D10" s="3" t="s">
        <v>18</v>
      </c>
      <c r="E10" s="3" t="s">
        <v>28</v>
      </c>
      <c r="F10" s="3">
        <v>34000</v>
      </c>
      <c r="G10" s="3">
        <v>6</v>
      </c>
      <c r="H10" s="3">
        <v>3</v>
      </c>
      <c r="I10" s="4" t="str" cm="1">
        <f t="array" ref="I10">_xlfn.IFS(Table1[[#This Row],[Sales]]&gt;=70000,"excellent",Table1[[#This Row],[Sales]]&gt;=50000,"good",Table1[[#This Row],[Sales]]&gt;=30000,"average",Table1[[#This Row],[Sales]]&lt;=30000,"low")</f>
        <v>average</v>
      </c>
    </row>
    <row r="11" spans="1:9" x14ac:dyDescent="0.35">
      <c r="A11" s="3" t="s">
        <v>35</v>
      </c>
      <c r="B11" s="3" t="s">
        <v>36</v>
      </c>
      <c r="C11" s="3" t="s">
        <v>26</v>
      </c>
      <c r="D11" s="3" t="s">
        <v>5</v>
      </c>
      <c r="E11" s="3" t="s">
        <v>11</v>
      </c>
      <c r="F11" s="3">
        <v>67000</v>
      </c>
      <c r="G11" s="3">
        <v>9</v>
      </c>
      <c r="H11" s="3">
        <v>4</v>
      </c>
      <c r="I11" s="4" t="str" cm="1">
        <f t="array" ref="I11">_xlfn.IFS(Table1[[#This Row],[Sales]]&gt;=70000,"excellent",Table1[[#This Row],[Sales]]&gt;=50000,"good",Table1[[#This Row],[Sales]]&gt;=30000,"average",Table1[[#This Row],[Sales]]&lt;=30000,"low")</f>
        <v>good</v>
      </c>
    </row>
    <row r="16" spans="1:9" x14ac:dyDescent="0.35">
      <c r="F16" t="s">
        <v>42</v>
      </c>
      <c r="G16" t="s">
        <v>43</v>
      </c>
    </row>
    <row r="17" spans="5:7" x14ac:dyDescent="0.35">
      <c r="F17" t="s">
        <v>40</v>
      </c>
      <c r="G17">
        <f>SUMIF(Table1[Category],E2,Table1[Sales])</f>
        <v>253000</v>
      </c>
    </row>
    <row r="18" spans="5:7" x14ac:dyDescent="0.35">
      <c r="F18" t="s">
        <v>41</v>
      </c>
      <c r="G18">
        <f>AVERAGEIFS(Table1[Sales],Table1[Category],E3)</f>
        <v>71666.666666666672</v>
      </c>
    </row>
    <row r="19" spans="5:7" x14ac:dyDescent="0.35">
      <c r="F19" t="s">
        <v>44</v>
      </c>
      <c r="G19">
        <f>COUNTIF(E2:E11,E7)</f>
        <v>2</v>
      </c>
    </row>
    <row r="21" spans="5:7" x14ac:dyDescent="0.35">
      <c r="E21">
        <v>3</v>
      </c>
      <c r="F21" t="s">
        <v>42</v>
      </c>
      <c r="G21" t="s">
        <v>43</v>
      </c>
    </row>
    <row r="22" spans="5:7" x14ac:dyDescent="0.35">
      <c r="F22">
        <v>1</v>
      </c>
      <c r="G22">
        <f>COUNTIF(Table1[Sales],"&gt;50000")</f>
        <v>5</v>
      </c>
    </row>
    <row r="23" spans="5:7" x14ac:dyDescent="0.35">
      <c r="F23">
        <v>2</v>
      </c>
      <c r="G23">
        <f>COUNTIFS(Table1[Region],C2,Table1[Category],E2,Table1[Rating],"&gt;=4")</f>
        <v>2</v>
      </c>
    </row>
    <row r="25" spans="5:7" x14ac:dyDescent="0.35">
      <c r="E25">
        <v>4</v>
      </c>
      <c r="F25" t="s">
        <v>42</v>
      </c>
      <c r="G25" t="s">
        <v>43</v>
      </c>
    </row>
    <row r="26" spans="5:7" x14ac:dyDescent="0.35">
      <c r="F26">
        <v>1</v>
      </c>
      <c r="G26">
        <f>SUMIFS(Table1[Sales],Table1[Region],C2,Table1[Category],E2)</f>
        <v>138000</v>
      </c>
    </row>
    <row r="27" spans="5:7" x14ac:dyDescent="0.35">
      <c r="F27">
        <v>2</v>
      </c>
      <c r="G27">
        <f>SUMIFS(Table1[Sales],Table1[Region],C3,Table1[Department],D2)</f>
        <v>110000</v>
      </c>
    </row>
  </sheetData>
  <conditionalFormatting sqref="C2:C11">
    <cfRule type="containsText" dxfId="21" priority="13" operator="containsText" text="North">
      <formula>NOT(ISERROR(SEARCH("North",C2)))</formula>
    </cfRule>
    <cfRule type="containsText" dxfId="20" priority="14" operator="containsText" text="North">
      <formula>NOT(ISERROR(SEARCH("North",C2)))</formula>
    </cfRule>
    <cfRule type="containsText" dxfId="19" priority="15" operator="containsText" text="north">
      <formula>NOT(ISERROR(SEARCH("north",C2)))</formula>
    </cfRule>
  </conditionalFormatting>
  <conditionalFormatting sqref="D2:D11">
    <cfRule type="containsText" dxfId="18" priority="9" operator="containsText" text="sales">
      <formula>NOT(ISERROR(SEARCH("sales",D2)))</formula>
    </cfRule>
  </conditionalFormatting>
  <conditionalFormatting sqref="E2:E11">
    <cfRule type="containsText" dxfId="17" priority="8" operator="containsText" text="furniture">
      <formula>NOT(ISERROR(SEARCH("furniture",E2)))</formula>
    </cfRule>
  </conditionalFormatting>
  <conditionalFormatting sqref="F2:F11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{E742EE40-5D2D-4F9B-86EF-203984430D36}</x14:id>
        </ext>
      </extLst>
    </cfRule>
    <cfRule type="cellIs" dxfId="16" priority="22" operator="lessThan">
      <formula>40000</formula>
    </cfRule>
  </conditionalFormatting>
  <conditionalFormatting sqref="F2:F12">
    <cfRule type="cellIs" dxfId="15" priority="23" operator="greaterThan">
      <formula>60000</formula>
    </cfRule>
  </conditionalFormatting>
  <conditionalFormatting sqref="G2:G1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{A3B512CB-85ED-4A6E-9CAE-239B6F9C0215}</x14:id>
        </ext>
      </extLst>
    </cfRule>
    <cfRule type="colorScale" priority="5">
      <colorScale>
        <cfvo type="min"/>
        <cfvo type="max"/>
        <color rgb="FFFCFCFF"/>
        <color rgb="FF63BE7B"/>
      </colorScale>
    </cfRule>
    <cfRule type="cellIs" dxfId="14" priority="7" operator="between">
      <formula>5</formula>
      <formula>8</formula>
    </cfRule>
    <cfRule type="cellIs" dxfId="13" priority="12" operator="greaterThan">
      <formula>8</formula>
    </cfRule>
  </conditionalFormatting>
  <conditionalFormatting sqref="H2:H1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{F5FBDCA0-F6EF-4F32-87DD-E18010F832AB}</x14:id>
        </ext>
      </extLst>
    </cfRule>
    <cfRule type="cellIs" dxfId="12" priority="10" operator="lessThanOrEqual">
      <formula>3</formula>
    </cfRule>
    <cfRule type="cellIs" dxfId="11" priority="11" operator="equal">
      <formula>5</formula>
    </cfRule>
  </conditionalFormatting>
  <pageMargins left="0.75" right="0.75" top="1" bottom="1" header="0.5" footer="0.5"/>
  <tableParts count="4">
    <tablePart r:id="rId1"/>
    <tablePart r:id="rId2"/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42EE40-5D2D-4F9B-86EF-203984430D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F2:F11</xm:sqref>
        </x14:conditionalFormatting>
        <x14:conditionalFormatting xmlns:xm="http://schemas.microsoft.com/office/excel/2006/main">
          <x14:cfRule type="dataBar" id="{A3B512CB-85ED-4A6E-9CAE-239B6F9C02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G2:G11</xm:sqref>
        </x14:conditionalFormatting>
        <x14:conditionalFormatting xmlns:xm="http://schemas.microsoft.com/office/excel/2006/main">
          <x14:cfRule type="dataBar" id="{F5FBDCA0-F6EF-4F32-87DD-E18010F832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ColWidth="8.81640625" defaultRowHeight="14.5" x14ac:dyDescent="0.35"/>
  <cols>
    <col min="1" max="1" width="12" customWidth="1"/>
    <col min="2" max="2" width="15" customWidth="1"/>
  </cols>
  <sheetData>
    <row r="1" spans="1:2" x14ac:dyDescent="0.35">
      <c r="A1" s="1" t="s">
        <v>37</v>
      </c>
      <c r="B1" s="1" t="s">
        <v>38</v>
      </c>
    </row>
    <row r="2" spans="1:2" x14ac:dyDescent="0.35">
      <c r="A2" t="s">
        <v>2</v>
      </c>
      <c r="B2" t="s">
        <v>45</v>
      </c>
    </row>
    <row r="3" spans="1:2" x14ac:dyDescent="0.35">
      <c r="A3" t="s">
        <v>6</v>
      </c>
      <c r="B3">
        <v>20</v>
      </c>
    </row>
    <row r="4" spans="1:2" x14ac:dyDescent="0.35">
      <c r="A4" t="s">
        <v>7</v>
      </c>
      <c r="B4">
        <v>5</v>
      </c>
    </row>
  </sheetData>
  <dataValidations count="3">
    <dataValidation type="list" allowBlank="1" showInputMessage="1" showErrorMessage="1" sqref="A1:A4 B1 B2" xr:uid="{E3FF488B-AAA4-B64C-8E5F-026161209666}">
      <formula1>"north,south,east,west"</formula1>
    </dataValidation>
    <dataValidation type="whole" allowBlank="1" showInputMessage="1" showErrorMessage="1" sqref="B3" xr:uid="{29BCB8EB-49C9-B24B-AB09-0EA8D63E05DD}">
      <formula1>1</formula1>
      <formula2>20</formula2>
    </dataValidation>
    <dataValidation type="decimal" allowBlank="1" showInputMessage="1" showErrorMessage="1" sqref="B4" xr:uid="{EC5AC3F4-77A5-3B46-9AB2-05ABDC7308DF}">
      <formula1>1</formula1>
      <formula2>5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Data Validation 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Muhammed safwam</cp:lastModifiedBy>
  <dcterms:created xsi:type="dcterms:W3CDTF">2026-10-06T19:39:01Z</dcterms:created>
  <dcterms:modified xsi:type="dcterms:W3CDTF">2026-10-13T17:22:33Z</dcterms:modified>
</cp:coreProperties>
</file>