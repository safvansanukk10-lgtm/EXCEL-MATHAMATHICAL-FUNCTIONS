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62" documentId="14_{40F09412-9350-4651-87A0-6833991EB882}" xr6:coauthVersionLast="47" xr6:coauthVersionMax="47" xr10:uidLastSave="{2D82DC88-9B2D-4E19-924B-4C37C21FC33E}"/>
  <bookViews>
    <workbookView xWindow="-110" yWindow="-110" windowWidth="19420" windowHeight="10300" xr2:uid="{C2E4A379-24C8-4ECB-AC52-37877C540CB7}"/>
  </bookViews>
  <sheets>
    <sheet name="DATASET" sheetId="3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3" l="1"/>
  <c r="C43" i="3"/>
  <c r="C42" i="3"/>
  <c r="C41" i="3"/>
  <c r="C40" i="3"/>
  <c r="C39" i="3"/>
  <c r="C38" i="3"/>
  <c r="C37" i="3"/>
  <c r="C36" i="3"/>
  <c r="C35" i="3"/>
  <c r="C34" i="3"/>
  <c r="C33" i="3"/>
  <c r="C3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C31" i="3"/>
  <c r="C30" i="3"/>
  <c r="C29" i="3"/>
  <c r="C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C27" i="3"/>
  <c r="C26" i="3"/>
  <c r="C25" i="3"/>
  <c r="C24" i="3"/>
</calcChain>
</file>

<file path=xl/sharedStrings.xml><?xml version="1.0" encoding="utf-8"?>
<sst xmlns="http://schemas.openxmlformats.org/spreadsheetml/2006/main" count="125" uniqueCount="92">
  <si>
    <t>Employee_ID</t>
  </si>
  <si>
    <t>Employee_Name</t>
  </si>
  <si>
    <t>Department</t>
  </si>
  <si>
    <t>Location</t>
  </si>
  <si>
    <t>Experience_Years</t>
  </si>
  <si>
    <t>Basic_Salary</t>
  </si>
  <si>
    <t>Bonus</t>
  </si>
  <si>
    <t>Sales_Target</t>
  </si>
  <si>
    <t>Sales_Achieved</t>
  </si>
  <si>
    <t>Performance_Score</t>
  </si>
  <si>
    <t>Attendance_%</t>
  </si>
  <si>
    <t>Overtime_Hours</t>
  </si>
  <si>
    <t>E001</t>
  </si>
  <si>
    <t>Arjun</t>
  </si>
  <si>
    <t>Sales</t>
  </si>
  <si>
    <t>Kochi</t>
  </si>
  <si>
    <t>E002</t>
  </si>
  <si>
    <t>Meera</t>
  </si>
  <si>
    <t>HR</t>
  </si>
  <si>
    <t>Calicut</t>
  </si>
  <si>
    <t>E003</t>
  </si>
  <si>
    <t>Rahul</t>
  </si>
  <si>
    <t>IT</t>
  </si>
  <si>
    <t>E004</t>
  </si>
  <si>
    <t>Anjali</t>
  </si>
  <si>
    <t>Finance</t>
  </si>
  <si>
    <t>Bangalore</t>
  </si>
  <si>
    <t>E005</t>
  </si>
  <si>
    <t>Nikhil</t>
  </si>
  <si>
    <t>E006</t>
  </si>
  <si>
    <t>Fathima</t>
  </si>
  <si>
    <t>E007</t>
  </si>
  <si>
    <t>Vishnu</t>
  </si>
  <si>
    <t>E008</t>
  </si>
  <si>
    <t>Sneha</t>
  </si>
  <si>
    <t>E009</t>
  </si>
  <si>
    <t>Adil</t>
  </si>
  <si>
    <t>E010</t>
  </si>
  <si>
    <t>Diya</t>
  </si>
  <si>
    <t>E011</t>
  </si>
  <si>
    <t>Akhil</t>
  </si>
  <si>
    <t>E012</t>
  </si>
  <si>
    <t>Hiba</t>
  </si>
  <si>
    <t>E013</t>
  </si>
  <si>
    <t>Sreejith</t>
  </si>
  <si>
    <t>E014</t>
  </si>
  <si>
    <t>Ayesha</t>
  </si>
  <si>
    <t>E015</t>
  </si>
  <si>
    <t>Manu</t>
  </si>
  <si>
    <t>E016</t>
  </si>
  <si>
    <t>Reshma</t>
  </si>
  <si>
    <t>E017</t>
  </si>
  <si>
    <t>Jithin</t>
  </si>
  <si>
    <t>E018</t>
  </si>
  <si>
    <t>Amritha</t>
  </si>
  <si>
    <t>E019</t>
  </si>
  <si>
    <t>Salman</t>
  </si>
  <si>
    <t>E020</t>
  </si>
  <si>
    <t>Keerthi</t>
  </si>
  <si>
    <t>No.</t>
  </si>
  <si>
    <t>Task</t>
  </si>
  <si>
    <t>Calculate the total Basic Salary of all employees.</t>
  </si>
  <si>
    <t>Find the minimum Basic Salary.</t>
  </si>
  <si>
    <t>Find the maximum Basic Salary.</t>
  </si>
  <si>
    <t>Calculate the total Bonus paid to all employees.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</si>
  <si>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by adding Basic Salary and Bonus.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</si>
  <si>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Target Status</t>
    </r>
    <r>
      <rPr>
        <sz val="11"/>
        <color theme="1"/>
        <rFont val="Calibri"/>
        <family val="2"/>
        <scheme val="minor"/>
      </rPr>
      <t xml:space="preserve">: If Sales Achieved ≥ Sales Target, display </t>
    </r>
    <r>
      <rPr>
        <b/>
        <sz val="11"/>
        <color theme="1"/>
        <rFont val="Calibri"/>
        <family val="2"/>
        <scheme val="minor"/>
      </rPr>
      <t>Achieved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Achieved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</si>
  <si>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Performance Level</t>
    </r>
    <r>
      <rPr>
        <sz val="11"/>
        <color theme="1"/>
        <rFont val="Calibri"/>
        <family val="2"/>
        <scheme val="minor"/>
      </rPr>
      <t xml:space="preserve">: If Performance Score ≥ 85 AND Attendance ≥ 90, display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Needs Improvement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</si>
  <si>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Eligibility</t>
    </r>
    <r>
      <rPr>
        <sz val="11"/>
        <color theme="1"/>
        <rFont val="Calibri"/>
        <family val="2"/>
        <scheme val="minor"/>
      </rPr>
      <t xml:space="preserve">: If Department is IT OR Finance, display </t>
    </r>
    <r>
      <rPr>
        <b/>
        <sz val="11"/>
        <color theme="1"/>
        <rFont val="Calibri"/>
        <family val="2"/>
        <scheme val="minor"/>
      </rPr>
      <t>Eligible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Eligible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</si>
  <si>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</si>
  <si>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Bonus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</si>
  <si>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</si>
  <si>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</t>
    </r>
    <r>
      <rPr>
        <b/>
        <sz val="11"/>
        <color theme="1"/>
        <rFont val="Calibri"/>
        <family val="2"/>
        <scheme val="minor"/>
      </rPr>
      <t>Sales employees in Calicut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</si>
  <si>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employees whose Performance Score is </t>
    </r>
    <r>
      <rPr>
        <b/>
        <sz val="11"/>
        <color theme="1"/>
        <rFont val="Calibri"/>
        <family val="2"/>
        <scheme val="minor"/>
      </rPr>
      <t>90 or above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</si>
  <si>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</si>
  <si>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Count the number of employees located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</si>
  <si>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whose Performance Score is </t>
    </r>
    <r>
      <rPr>
        <b/>
        <sz val="11"/>
        <color theme="1"/>
        <rFont val="Calibri"/>
        <family val="2"/>
        <scheme val="minor"/>
      </rPr>
      <t>85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</si>
  <si>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</si>
  <si>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Find the average Performance Score of employees in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>.</t>
    </r>
  </si>
  <si>
    <r>
      <t xml:space="preserve">Find the average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</si>
  <si>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with </t>
    </r>
    <r>
      <rPr>
        <b/>
        <sz val="11"/>
        <color theme="1"/>
        <rFont val="Calibri"/>
        <family val="2"/>
        <scheme val="minor"/>
      </rPr>
      <t>5 or more years of experience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</si>
  <si>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Sales Achieved by </t>
    </r>
    <r>
      <rPr>
        <b/>
        <sz val="11"/>
        <color theme="1"/>
        <rFont val="Calibri"/>
        <family val="2"/>
        <scheme val="minor"/>
      </rPr>
      <t>IT employees in Bangalore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</si>
  <si>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</t>
    </r>
    <r>
      <rPr>
        <b/>
        <sz val="11"/>
        <color theme="1"/>
        <rFont val="Calibri"/>
        <family val="2"/>
        <scheme val="minor"/>
      </rPr>
      <t>Sales employees with Performance Score ≥ 85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</si>
  <si>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</t>
    </r>
    <r>
      <rPr>
        <b/>
        <sz val="11"/>
        <color theme="1"/>
        <rFont val="Calibri"/>
        <family val="2"/>
        <scheme val="minor"/>
      </rPr>
      <t>Calicut</t>
    </r>
    <r>
      <rPr>
        <sz val="11"/>
        <color theme="1"/>
        <rFont val="Calibri"/>
        <family val="2"/>
        <scheme val="minor"/>
      </rPr>
      <t xml:space="preserve"> whose Performance Score is </t>
    </r>
    <r>
      <rPr>
        <b/>
        <sz val="11"/>
        <color theme="1"/>
        <rFont val="Calibri"/>
        <family val="2"/>
        <scheme val="minor"/>
      </rPr>
      <t>80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</si>
  <si>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</t>
    </r>
    <r>
      <rPr>
        <b/>
        <sz val="11"/>
        <color theme="1"/>
        <rFont val="Calibri"/>
        <family val="2"/>
        <scheme val="minor"/>
      </rPr>
      <t>Finance employees in Bangalore</t>
    </r>
    <r>
      <rPr>
        <sz val="11"/>
        <color theme="1"/>
        <rFont val="Calibri"/>
        <family val="2"/>
        <scheme val="minor"/>
      </rPr>
      <t>.</t>
    </r>
  </si>
  <si>
    <t>Q.NO</t>
  </si>
  <si>
    <t>ANS</t>
  </si>
  <si>
    <t>TOTAL SALARY</t>
  </si>
  <si>
    <t>TARGET STATUS</t>
  </si>
  <si>
    <t>ELIGIBILITY</t>
  </si>
  <si>
    <t>PERFORMANCE</t>
  </si>
  <si>
    <t xml:space="preserve"> Count the number of employees whose Attendance is 95 or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</si>
</sst>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0"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F06D0-6270-4A84-9413-A5F6A17F9CDE}" name="Table1" displayName="Table1" ref="A1:P21" totalsRowShown="0" headerRowDxfId="17" dataDxfId="16">
  <autoFilter ref="A1:P21" xr:uid="{9BBF06D0-6270-4A84-9413-A5F6A17F9CDE}"/>
  <tableColumns count="16">
    <tableColumn id="1" xr3:uid="{BC887588-7B77-4035-9418-23DADF96E2F1}" name="Employee_ID" dataDxfId="15"/>
    <tableColumn id="2" xr3:uid="{7E3CE9E9-FC53-4E53-87C1-08B6E01165ED}" name="Employee_Name" dataDxfId="14"/>
    <tableColumn id="3" xr3:uid="{527D104A-08EC-4644-A0C2-B793CD863D08}" name="Department" dataDxfId="13"/>
    <tableColumn id="4" xr3:uid="{9FE4C66D-0F4A-4722-90F1-BAC681FDDCBB}" name="Location" dataDxfId="12"/>
    <tableColumn id="5" xr3:uid="{6BF8077D-814E-4D32-AD62-BE107DED8904}" name="Experience_Years" dataDxfId="11"/>
    <tableColumn id="6" xr3:uid="{4E4DDC62-DB75-445F-B008-BB15632EC58B}" name="Basic_Salary" dataDxfId="10"/>
    <tableColumn id="7" xr3:uid="{4DE14748-F283-4FF6-A766-B05384655D8C}" name="Bonus" dataDxfId="9"/>
    <tableColumn id="8" xr3:uid="{341D9256-E889-4F45-B661-B16442751AD4}" name="Sales_Target" dataDxfId="8"/>
    <tableColumn id="9" xr3:uid="{8188387E-3FC5-417E-B14F-873DAA88D01D}" name="Sales_Achieved" dataDxfId="7"/>
    <tableColumn id="10" xr3:uid="{36A1E3D3-A573-4EAF-8FFA-374D7CFCCE25}" name="Performance_Score" dataDxfId="6"/>
    <tableColumn id="11" xr3:uid="{6B45A990-E802-4392-9186-7762E0F8C09C}" name="Attendance_%" dataDxfId="5"/>
    <tableColumn id="12" xr3:uid="{4CD05769-5951-4716-B967-FD9EF37B63EF}" name="Overtime_Hours" dataDxfId="4"/>
    <tableColumn id="13" xr3:uid="{F416868E-85A9-42AA-968C-0AF41A6B9FC6}" name="TOTAL SALARY" dataDxfId="3">
      <calculatedColumnFormula>SUM(Table1[[#This Row],[Basic_Salary]],Table1[[#This Row],[Bonus]])</calculatedColumnFormula>
    </tableColumn>
    <tableColumn id="14" xr3:uid="{FE63A80B-1EA9-4F1A-9B69-166277D48F5F}" name="TARGET STATUS" dataDxfId="2">
      <calculatedColumnFormula>IF(Table1[[#This Row],[Sales_Achieved]]&gt;Table1[[#This Row],[Sales_Target]],"ACHIVED","NOT ACHIVED")</calculatedColumnFormula>
    </tableColumn>
    <tableColumn id="15" xr3:uid="{483D9FDF-56B2-4362-B803-8BD93B0C6436}" name="PERFORMANCE" dataDxfId="1">
      <calculatedColumnFormula>IF(AND(Table1[[#This Row],[Performance_Score]]&gt;85,Table1[[#This Row],[Attendance_%]]&gt;90),"EXCELLENT","NEED IMPROVEMENT")</calculatedColumnFormula>
    </tableColumn>
    <tableColumn id="16" xr3:uid="{F098DF37-E3C3-464F-8F84-BF8ED81E6921}" name="ELIGIBILITY" dataDxfId="0">
      <calculatedColumnFormula>IF(OR(Table1[[#This Row],[Department]]=C4=Table1[[#This Row],[Department]]=C5),"ELIGIBIE","NOT ELIGIBILE")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F75A6-D25D-4BBF-8544-5A775109C2D0}" name="Table3" displayName="Table3" ref="B23:C44" totalsRowShown="0">
  <autoFilter ref="B23:C44" xr:uid="{E80F75A6-D25D-4BBF-8544-5A775109C2D0}"/>
  <tableColumns count="2">
    <tableColumn id="1" xr3:uid="{27CA44E5-1F6C-49F4-B796-DA57B39C9505}" name="Q.NO"/>
    <tableColumn id="2" xr3:uid="{E42082B9-8C94-4A74-8F75-81FCBE2E0DB6}" name="A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ED191-2BA5-4F17-A81E-4AFF23AE2B9B}" name="Table2" displayName="Table2" ref="A1:B26" totalsRowShown="0">
  <autoFilter ref="A1:B26" xr:uid="{FADED191-2BA5-4F17-A81E-4AFF23AE2B9B}"/>
  <tableColumns count="2">
    <tableColumn id="1" xr3:uid="{44CBABA1-4746-40C0-BCED-FEF5B6C219BC}" name="No." dataDxfId="19"/>
    <tableColumn id="2" xr3:uid="{E0E553A1-0557-4275-8ACE-CA47773E1D3B}" name="Task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22A3-EAAF-4616-8502-D07194D51224}">
  <dimension ref="A1:P44"/>
  <sheetViews>
    <sheetView tabSelected="1" topLeftCell="A20" zoomScale="70" zoomScaleNormal="70" workbookViewId="0">
      <selection activeCell="C45" sqref="C45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4" max="4" width="9.90625" customWidth="1"/>
    <col min="5" max="5" width="17.453125" customWidth="1"/>
    <col min="6" max="6" width="13" customWidth="1"/>
    <col min="8" max="8" width="13.36328125" customWidth="1"/>
    <col min="9" max="9" width="15.54296875" customWidth="1"/>
    <col min="10" max="10" width="19.1796875" customWidth="1"/>
    <col min="11" max="11" width="15" customWidth="1"/>
    <col min="12" max="12" width="16.6328125" customWidth="1"/>
    <col min="13" max="13" width="14.1796875" customWidth="1"/>
    <col min="14" max="14" width="18" customWidth="1"/>
    <col min="15" max="15" width="21.453125" customWidth="1"/>
    <col min="16" max="16" width="18.6328125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87</v>
      </c>
      <c r="N1" s="3" t="s">
        <v>88</v>
      </c>
      <c r="O1" s="3" t="s">
        <v>90</v>
      </c>
      <c r="P1" s="3" t="s">
        <v>89</v>
      </c>
    </row>
    <row r="2" spans="1:16" x14ac:dyDescent="0.35">
      <c r="A2" s="4" t="s">
        <v>12</v>
      </c>
      <c r="B2" s="4" t="s">
        <v>13</v>
      </c>
      <c r="C2" s="4" t="s">
        <v>14</v>
      </c>
      <c r="D2" s="4" t="s">
        <v>15</v>
      </c>
      <c r="E2" s="2">
        <v>2</v>
      </c>
      <c r="F2" s="2">
        <v>28000</v>
      </c>
      <c r="G2" s="2">
        <v>4000</v>
      </c>
      <c r="H2" s="2">
        <v>300000</v>
      </c>
      <c r="I2" s="2">
        <v>325000</v>
      </c>
      <c r="J2" s="2">
        <v>85</v>
      </c>
      <c r="K2" s="2">
        <v>94</v>
      </c>
      <c r="L2" s="2">
        <v>12</v>
      </c>
      <c r="M2" s="2">
        <f>SUM(Table1[[#This Row],[Basic_Salary]],Table1[[#This Row],[Bonus]])</f>
        <v>32000</v>
      </c>
      <c r="N2" s="2" t="str">
        <f>IF(Table1[[#This Row],[Sales_Achieved]]&gt;Table1[[#This Row],[Sales_Target]],"ACHIVED","NOT ACHIVED")</f>
        <v>ACHIVED</v>
      </c>
      <c r="O2" s="2" t="str">
        <f>IF(AND(Table1[[#This Row],[Performance_Score]]&gt;85,Table1[[#This Row],[Attendance_%]]&gt;90),"EXCELLENT","NEED IMPROVEMENT")</f>
        <v>NEED IMPROVEMENT</v>
      </c>
      <c r="P2" s="2" t="str">
        <f>IF(OR(Table1[[#This Row],[Department]]=C4=Table1[[#This Row],[Department]]=C5),"ELIGIBIE","NOT ELIGIBILE")</f>
        <v>NOT ELIGIBILE</v>
      </c>
    </row>
    <row r="3" spans="1:16" ht="43.5" x14ac:dyDescent="0.35">
      <c r="A3" s="4" t="s">
        <v>16</v>
      </c>
      <c r="B3" s="4" t="s">
        <v>17</v>
      </c>
      <c r="C3" s="4" t="s">
        <v>18</v>
      </c>
      <c r="D3" s="4" t="s">
        <v>19</v>
      </c>
      <c r="E3" s="2">
        <v>4</v>
      </c>
      <c r="F3" s="2">
        <v>35000</v>
      </c>
      <c r="G3" s="2">
        <v>3500</v>
      </c>
      <c r="H3" s="2">
        <v>150000</v>
      </c>
      <c r="I3" s="2">
        <v>142000</v>
      </c>
      <c r="J3" s="2">
        <v>78</v>
      </c>
      <c r="K3" s="2">
        <v>91</v>
      </c>
      <c r="L3" s="2">
        <v>8</v>
      </c>
      <c r="M3" s="2">
        <f>SUM(Table1[[#This Row],[Basic_Salary]],Table1[[#This Row],[Bonus]])</f>
        <v>38500</v>
      </c>
      <c r="N3" s="2" t="str">
        <f>IF(Table1[[#This Row],[Sales_Achieved]]&gt;Table1[[#This Row],[Sales_Target]],"ACHIVED","NOT ACHIVED")</f>
        <v>NOT ACHIVED</v>
      </c>
      <c r="O3" s="2" t="str">
        <f>IF(AND(Table1[[#This Row],[Performance_Score]]&gt;85,Table1[[#This Row],[Attendance_%]]&gt;90),"EXCELLENT","NEED IMPROVEMENT")</f>
        <v>NEED IMPROVEMENT</v>
      </c>
      <c r="P3" s="2" t="str">
        <f>IF(OR(Table1[[#This Row],[Department]]=C4,Table1[[#This Row],[Department]]=C6),"ELIGIBIE","NOT ELIGIBILE")</f>
        <v>NOT ELIGIBILE</v>
      </c>
    </row>
    <row r="4" spans="1:16" ht="29" x14ac:dyDescent="0.35">
      <c r="A4" s="4" t="s">
        <v>20</v>
      </c>
      <c r="B4" s="4" t="s">
        <v>21</v>
      </c>
      <c r="C4" s="4" t="s">
        <v>22</v>
      </c>
      <c r="D4" s="4" t="s">
        <v>15</v>
      </c>
      <c r="E4" s="2">
        <v>3</v>
      </c>
      <c r="F4" s="2">
        <v>42000</v>
      </c>
      <c r="G4" s="2">
        <v>6000</v>
      </c>
      <c r="H4" s="2">
        <v>250000</v>
      </c>
      <c r="I4" s="2">
        <v>275000</v>
      </c>
      <c r="J4" s="2">
        <v>92</v>
      </c>
      <c r="K4" s="2">
        <v>97</v>
      </c>
      <c r="L4" s="2">
        <v>15</v>
      </c>
      <c r="M4" s="2">
        <f>SUM(Table1[[#This Row],[Basic_Salary]],Table1[[#This Row],[Bonus]])</f>
        <v>48000</v>
      </c>
      <c r="N4" s="2" t="str">
        <f>IF(Table1[[#This Row],[Sales_Achieved]]&gt;Table1[[#This Row],[Sales_Target]],"ACHIVED","NOT ACHIVED")</f>
        <v>ACHIVED</v>
      </c>
      <c r="O4" s="2" t="str">
        <f>IF(AND(Table1[[#This Row],[Performance_Score]]&gt;85,Table1[[#This Row],[Attendance_%]]&gt;90),"EXCELLENT","NEED IMPROVEMENT")</f>
        <v>EXCELLENT</v>
      </c>
      <c r="P4" s="2" t="str">
        <f>IF(OR(Table1[[#This Row],[Department]]=C6=Table1[[#This Row],[Department]]=C7),"ELIGIBIE","NOT ELIGIBILE")</f>
        <v>NOT ELIGIBILE</v>
      </c>
    </row>
    <row r="5" spans="1:16" ht="29" x14ac:dyDescent="0.35">
      <c r="A5" s="4" t="s">
        <v>23</v>
      </c>
      <c r="B5" s="4" t="s">
        <v>24</v>
      </c>
      <c r="C5" s="4" t="s">
        <v>25</v>
      </c>
      <c r="D5" s="4" t="s">
        <v>26</v>
      </c>
      <c r="E5" s="2">
        <v>5</v>
      </c>
      <c r="F5" s="2">
        <v>48000</v>
      </c>
      <c r="G5" s="2">
        <v>5500</v>
      </c>
      <c r="H5" s="2">
        <v>200000</v>
      </c>
      <c r="I5" s="2">
        <v>210000</v>
      </c>
      <c r="J5" s="2">
        <v>88</v>
      </c>
      <c r="K5" s="2">
        <v>95</v>
      </c>
      <c r="L5" s="2">
        <v>10</v>
      </c>
      <c r="M5" s="2">
        <f>SUM(Table1[[#This Row],[Basic_Salary]],Table1[[#This Row],[Bonus]])</f>
        <v>53500</v>
      </c>
      <c r="N5" s="2" t="str">
        <f>IF(Table1[[#This Row],[Sales_Achieved]]&gt;Table1[[#This Row],[Sales_Target]],"ACHIVED","NOT ACHIVED")</f>
        <v>ACHIVED</v>
      </c>
      <c r="O5" s="2" t="str">
        <f>IF(AND(Table1[[#This Row],[Performance_Score]]&gt;85,Table1[[#This Row],[Attendance_%]]&gt;90),"EXCELLENT","NEED IMPROVEMENT")</f>
        <v>EXCELLENT</v>
      </c>
      <c r="P5" s="2" t="str">
        <f>IF(OR(Table1[[#This Row],[Department]]=C7=Table1[[#This Row],[Department]]=C8),"ELIGIBIE","NOT ELIGIBILE")</f>
        <v>NOT ELIGIBILE</v>
      </c>
    </row>
    <row r="6" spans="1:16" ht="43.5" x14ac:dyDescent="0.35">
      <c r="A6" s="4" t="s">
        <v>27</v>
      </c>
      <c r="B6" s="4" t="s">
        <v>28</v>
      </c>
      <c r="C6" s="4" t="s">
        <v>14</v>
      </c>
      <c r="D6" s="4" t="s">
        <v>19</v>
      </c>
      <c r="E6" s="2">
        <v>1</v>
      </c>
      <c r="F6" s="2">
        <v>26000</v>
      </c>
      <c r="G6" s="2">
        <v>3000</v>
      </c>
      <c r="H6" s="2">
        <v>280000</v>
      </c>
      <c r="I6" s="2">
        <v>250000</v>
      </c>
      <c r="J6" s="2">
        <v>69</v>
      </c>
      <c r="K6" s="2">
        <v>86</v>
      </c>
      <c r="L6" s="2">
        <v>6</v>
      </c>
      <c r="M6" s="2">
        <f>SUM(Table1[[#This Row],[Basic_Salary]],Table1[[#This Row],[Bonus]])</f>
        <v>29000</v>
      </c>
      <c r="N6" s="2" t="str">
        <f>IF(Table1[[#This Row],[Sales_Achieved]]&gt;Table1[[#This Row],[Sales_Target]],"ACHIVED","NOT ACHIVED")</f>
        <v>NOT ACHIVED</v>
      </c>
      <c r="O6" s="2" t="str">
        <f>IF(AND(Table1[[#This Row],[Performance_Score]]&gt;85,Table1[[#This Row],[Attendance_%]]&gt;90),"EXCELLENT","NEED IMPROVEMENT")</f>
        <v>NEED IMPROVEMENT</v>
      </c>
      <c r="P6" s="2" t="str">
        <f>IF(OR(Table1[[#This Row],[Department]]=C8=Table1[[#This Row],[Department]]=C9),"ELIGIBIE","NOT ELIGIBILE")</f>
        <v>NOT ELIGIBILE</v>
      </c>
    </row>
    <row r="7" spans="1:16" ht="29" x14ac:dyDescent="0.35">
      <c r="A7" s="4" t="s">
        <v>29</v>
      </c>
      <c r="B7" s="4" t="s">
        <v>30</v>
      </c>
      <c r="C7" s="4" t="s">
        <v>22</v>
      </c>
      <c r="D7" s="4" t="s">
        <v>15</v>
      </c>
      <c r="E7" s="2">
        <v>6</v>
      </c>
      <c r="F7" s="2">
        <v>55000</v>
      </c>
      <c r="G7" s="2">
        <v>7500</v>
      </c>
      <c r="H7" s="2">
        <v>350000</v>
      </c>
      <c r="I7" s="2">
        <v>390000</v>
      </c>
      <c r="J7" s="2">
        <v>96</v>
      </c>
      <c r="K7" s="2">
        <v>98</v>
      </c>
      <c r="L7" s="2">
        <v>18</v>
      </c>
      <c r="M7" s="2">
        <f>SUM(Table1[[#This Row],[Basic_Salary]],Table1[[#This Row],[Bonus]])</f>
        <v>62500</v>
      </c>
      <c r="N7" s="2" t="str">
        <f>IF(Table1[[#This Row],[Sales_Achieved]]&gt;Table1[[#This Row],[Sales_Target]],"ACHIVED","NOT ACHIVED")</f>
        <v>ACHIVED</v>
      </c>
      <c r="O7" s="2" t="str">
        <f>IF(AND(Table1[[#This Row],[Performance_Score]]&gt;85,Table1[[#This Row],[Attendance_%]]&gt;90),"EXCELLENT","NEED IMPROVEMENT")</f>
        <v>EXCELLENT</v>
      </c>
      <c r="P7" s="2" t="str">
        <f>IF(OR(Table1[[#This Row],[Department]]=C9=Table1[[#This Row],[Department]]=C10),"ELIGIBIE","NOT ELIGIBILE")</f>
        <v>NOT ELIGIBILE</v>
      </c>
    </row>
    <row r="8" spans="1:16" ht="43.5" x14ac:dyDescent="0.35">
      <c r="A8" s="4" t="s">
        <v>31</v>
      </c>
      <c r="B8" s="4" t="s">
        <v>32</v>
      </c>
      <c r="C8" s="4" t="s">
        <v>18</v>
      </c>
      <c r="D8" s="4" t="s">
        <v>26</v>
      </c>
      <c r="E8" s="2">
        <v>2</v>
      </c>
      <c r="F8" s="2">
        <v>32000</v>
      </c>
      <c r="G8" s="2">
        <v>2500</v>
      </c>
      <c r="H8" s="2">
        <v>140000</v>
      </c>
      <c r="I8" s="2">
        <v>155000</v>
      </c>
      <c r="J8" s="2">
        <v>81</v>
      </c>
      <c r="K8" s="2">
        <v>93</v>
      </c>
      <c r="L8" s="2">
        <v>7</v>
      </c>
      <c r="M8" s="2">
        <f>SUM(Table1[[#This Row],[Basic_Salary]],Table1[[#This Row],[Bonus]])</f>
        <v>34500</v>
      </c>
      <c r="N8" s="2" t="str">
        <f>IF(Table1[[#This Row],[Sales_Achieved]]&gt;Table1[[#This Row],[Sales_Target]],"ACHIVED","NOT ACHIVED")</f>
        <v>ACHIVED</v>
      </c>
      <c r="O8" s="2" t="str">
        <f>IF(AND(Table1[[#This Row],[Performance_Score]]&gt;85,Table1[[#This Row],[Attendance_%]]&gt;90),"EXCELLENT","NEED IMPROVEMENT")</f>
        <v>NEED IMPROVEMENT</v>
      </c>
      <c r="P8" s="2" t="str">
        <f>IF(OR(Table1[[#This Row],[Department]]=C10=Table1[[#This Row],[Department]]=C11),"ELIGIBIE","NOT ELIGIBILE")</f>
        <v>NOT ELIGIBILE</v>
      </c>
    </row>
    <row r="9" spans="1:16" ht="29" x14ac:dyDescent="0.35">
      <c r="A9" s="4" t="s">
        <v>33</v>
      </c>
      <c r="B9" s="4" t="s">
        <v>34</v>
      </c>
      <c r="C9" s="4" t="s">
        <v>14</v>
      </c>
      <c r="D9" s="4" t="s">
        <v>15</v>
      </c>
      <c r="E9" s="2">
        <v>4</v>
      </c>
      <c r="F9" s="2">
        <v>39000</v>
      </c>
      <c r="G9" s="2">
        <v>5000</v>
      </c>
      <c r="H9" s="2">
        <v>320000</v>
      </c>
      <c r="I9" s="2">
        <v>340000</v>
      </c>
      <c r="J9" s="2">
        <v>89</v>
      </c>
      <c r="K9" s="2">
        <v>96</v>
      </c>
      <c r="L9" s="2">
        <v>14</v>
      </c>
      <c r="M9" s="2">
        <f>SUM(Table1[[#This Row],[Basic_Salary]],Table1[[#This Row],[Bonus]])</f>
        <v>44000</v>
      </c>
      <c r="N9" s="2" t="str">
        <f>IF(Table1[[#This Row],[Sales_Achieved]]&gt;Table1[[#This Row],[Sales_Target]],"ACHIVED","NOT ACHIVED")</f>
        <v>ACHIVED</v>
      </c>
      <c r="O9" s="2" t="str">
        <f>IF(AND(Table1[[#This Row],[Performance_Score]]&gt;85,Table1[[#This Row],[Attendance_%]]&gt;90),"EXCELLENT","NEED IMPROVEMENT")</f>
        <v>EXCELLENT</v>
      </c>
      <c r="P9" s="2" t="str">
        <f>IF(OR(Table1[[#This Row],[Department]]=C11=Table1[[#This Row],[Department]]=C12),"ELIGIBIE","NOT ELIGIBILE")</f>
        <v>NOT ELIGIBILE</v>
      </c>
    </row>
    <row r="10" spans="1:16" ht="43.5" x14ac:dyDescent="0.35">
      <c r="A10" s="4" t="s">
        <v>35</v>
      </c>
      <c r="B10" s="4" t="s">
        <v>36</v>
      </c>
      <c r="C10" s="4" t="s">
        <v>25</v>
      </c>
      <c r="D10" s="4" t="s">
        <v>19</v>
      </c>
      <c r="E10" s="2">
        <v>3</v>
      </c>
      <c r="F10" s="2">
        <v>41000</v>
      </c>
      <c r="G10" s="2">
        <v>4500</v>
      </c>
      <c r="H10" s="2">
        <v>180000</v>
      </c>
      <c r="I10" s="2">
        <v>165000</v>
      </c>
      <c r="J10" s="2">
        <v>74</v>
      </c>
      <c r="K10" s="2">
        <v>89</v>
      </c>
      <c r="L10" s="2">
        <v>9</v>
      </c>
      <c r="M10" s="2">
        <f>SUM(Table1[[#This Row],[Basic_Salary]],Table1[[#This Row],[Bonus]])</f>
        <v>45500</v>
      </c>
      <c r="N10" s="2" t="str">
        <f>IF(Table1[[#This Row],[Sales_Achieved]]&gt;Table1[[#This Row],[Sales_Target]],"ACHIVED","NOT ACHIVED")</f>
        <v>NOT ACHIVED</v>
      </c>
      <c r="O10" s="2" t="str">
        <f>IF(AND(Table1[[#This Row],[Performance_Score]]&gt;85,Table1[[#This Row],[Attendance_%]]&gt;90),"EXCELLENT","NEED IMPROVEMENT")</f>
        <v>NEED IMPROVEMENT</v>
      </c>
      <c r="P10" s="2" t="str">
        <f>IF(OR(Table1[[#This Row],[Department]]=C12=Table1[[#This Row],[Department]]=C13),"ELIGIBIE","NOT ELIGIBILE")</f>
        <v>NOT ELIGIBILE</v>
      </c>
    </row>
    <row r="11" spans="1:16" ht="29" x14ac:dyDescent="0.35">
      <c r="A11" s="4" t="s">
        <v>37</v>
      </c>
      <c r="B11" s="4" t="s">
        <v>38</v>
      </c>
      <c r="C11" s="4" t="s">
        <v>22</v>
      </c>
      <c r="D11" s="4" t="s">
        <v>26</v>
      </c>
      <c r="E11" s="2">
        <v>7</v>
      </c>
      <c r="F11" s="2">
        <v>62000</v>
      </c>
      <c r="G11" s="2">
        <v>8500</v>
      </c>
      <c r="H11" s="2">
        <v>400000</v>
      </c>
      <c r="I11" s="2">
        <v>425000</v>
      </c>
      <c r="J11" s="2">
        <v>97</v>
      </c>
      <c r="K11" s="2">
        <v>99</v>
      </c>
      <c r="L11" s="2">
        <v>20</v>
      </c>
      <c r="M11" s="2">
        <f>SUM(Table1[[#This Row],[Basic_Salary]],Table1[[#This Row],[Bonus]])</f>
        <v>70500</v>
      </c>
      <c r="N11" s="2" t="str">
        <f>IF(Table1[[#This Row],[Sales_Achieved]]&gt;Table1[[#This Row],[Sales_Target]],"ACHIVED","NOT ACHIVED")</f>
        <v>ACHIVED</v>
      </c>
      <c r="O11" s="2" t="str">
        <f>IF(AND(Table1[[#This Row],[Performance_Score]]&gt;85,Table1[[#This Row],[Attendance_%]]&gt;90),"EXCELLENT","NEED IMPROVEMENT")</f>
        <v>EXCELLENT</v>
      </c>
      <c r="P11" s="2" t="str">
        <f>IF(OR(Table1[[#This Row],[Department]]=C13=Table1[[#This Row],[Department]]=C14),"ELIGIBIE","NOT ELIGIBILE")</f>
        <v>NOT ELIGIBILE</v>
      </c>
    </row>
    <row r="12" spans="1:16" ht="29" x14ac:dyDescent="0.35">
      <c r="A12" s="4" t="s">
        <v>39</v>
      </c>
      <c r="B12" s="4" t="s">
        <v>40</v>
      </c>
      <c r="C12" s="4" t="s">
        <v>14</v>
      </c>
      <c r="D12" s="4" t="s">
        <v>19</v>
      </c>
      <c r="E12" s="2">
        <v>5</v>
      </c>
      <c r="F12" s="2">
        <v>45000</v>
      </c>
      <c r="G12" s="2">
        <v>6500</v>
      </c>
      <c r="H12" s="2">
        <v>350000</v>
      </c>
      <c r="I12" s="2">
        <v>370000</v>
      </c>
      <c r="J12" s="2">
        <v>91</v>
      </c>
      <c r="K12" s="2">
        <v>94</v>
      </c>
      <c r="L12" s="2">
        <v>16</v>
      </c>
      <c r="M12" s="2">
        <f>SUM(Table1[[#This Row],[Basic_Salary]],Table1[[#This Row],[Bonus]])</f>
        <v>51500</v>
      </c>
      <c r="N12" s="2" t="str">
        <f>IF(Table1[[#This Row],[Sales_Achieved]]&gt;Table1[[#This Row],[Sales_Target]],"ACHIVED","NOT ACHIVED")</f>
        <v>ACHIVED</v>
      </c>
      <c r="O12" s="2" t="str">
        <f>IF(AND(Table1[[#This Row],[Performance_Score]]&gt;85,Table1[[#This Row],[Attendance_%]]&gt;90),"EXCELLENT","NEED IMPROVEMENT")</f>
        <v>EXCELLENT</v>
      </c>
      <c r="P12" s="2" t="str">
        <f>IF(OR(Table1[[#This Row],[Department]]=C14=Table1[[#This Row],[Department]]=C15),"ELIGIBIE","NOT ELIGIBILE")</f>
        <v>NOT ELIGIBILE</v>
      </c>
    </row>
    <row r="13" spans="1:16" ht="43.5" x14ac:dyDescent="0.35">
      <c r="A13" s="4" t="s">
        <v>41</v>
      </c>
      <c r="B13" s="4" t="s">
        <v>42</v>
      </c>
      <c r="C13" s="4" t="s">
        <v>18</v>
      </c>
      <c r="D13" s="4" t="s">
        <v>15</v>
      </c>
      <c r="E13" s="2">
        <v>3</v>
      </c>
      <c r="F13" s="2">
        <v>36000</v>
      </c>
      <c r="G13" s="2">
        <v>3200</v>
      </c>
      <c r="H13" s="2">
        <v>160000</v>
      </c>
      <c r="I13" s="2">
        <v>172000</v>
      </c>
      <c r="J13" s="2">
        <v>84</v>
      </c>
      <c r="K13" s="2">
        <v>92</v>
      </c>
      <c r="L13" s="2">
        <v>5</v>
      </c>
      <c r="M13" s="2">
        <f>SUM(Table1[[#This Row],[Basic_Salary]],Table1[[#This Row],[Bonus]])</f>
        <v>39200</v>
      </c>
      <c r="N13" s="2" t="str">
        <f>IF(Table1[[#This Row],[Sales_Achieved]]&gt;Table1[[#This Row],[Sales_Target]],"ACHIVED","NOT ACHIVED")</f>
        <v>ACHIVED</v>
      </c>
      <c r="O13" s="2" t="str">
        <f>IF(AND(Table1[[#This Row],[Performance_Score]]&gt;85,Table1[[#This Row],[Attendance_%]]&gt;90),"EXCELLENT","NEED IMPROVEMENT")</f>
        <v>NEED IMPROVEMENT</v>
      </c>
      <c r="P13" s="2" t="str">
        <f>IF(OR(Table1[[#This Row],[Department]]=C15=Table1[[#This Row],[Department]]=C16),"ELIGIBIE","NOT ELIGIBILE")</f>
        <v>NOT ELIGIBILE</v>
      </c>
    </row>
    <row r="14" spans="1:16" ht="29" x14ac:dyDescent="0.35">
      <c r="A14" s="4" t="s">
        <v>43</v>
      </c>
      <c r="B14" s="4" t="s">
        <v>44</v>
      </c>
      <c r="C14" s="4" t="s">
        <v>25</v>
      </c>
      <c r="D14" s="4" t="s">
        <v>26</v>
      </c>
      <c r="E14" s="2">
        <v>8</v>
      </c>
      <c r="F14" s="2">
        <v>68000</v>
      </c>
      <c r="G14" s="2">
        <v>9000</v>
      </c>
      <c r="H14" s="2">
        <v>300000</v>
      </c>
      <c r="I14" s="2">
        <v>315000</v>
      </c>
      <c r="J14" s="2">
        <v>95</v>
      </c>
      <c r="K14" s="2">
        <v>97</v>
      </c>
      <c r="L14" s="2">
        <v>22</v>
      </c>
      <c r="M14" s="2">
        <f>SUM(Table1[[#This Row],[Basic_Salary]],Table1[[#This Row],[Bonus]])</f>
        <v>77000</v>
      </c>
      <c r="N14" s="2" t="str">
        <f>IF(Table1[[#This Row],[Sales_Achieved]]&gt;Table1[[#This Row],[Sales_Target]],"ACHIVED","NOT ACHIVED")</f>
        <v>ACHIVED</v>
      </c>
      <c r="O14" s="2" t="str">
        <f>IF(AND(Table1[[#This Row],[Performance_Score]]&gt;85,Table1[[#This Row],[Attendance_%]]&gt;90),"EXCELLENT","NEED IMPROVEMENT")</f>
        <v>EXCELLENT</v>
      </c>
      <c r="P14" s="2" t="str">
        <f>IF(OR(Table1[[#This Row],[Department]]=C16=Table1[[#This Row],[Department]]=C17),"ELIGIBIE","NOT ELIGIBILE")</f>
        <v>NOT ELIGIBILE</v>
      </c>
    </row>
    <row r="15" spans="1:16" ht="43.5" x14ac:dyDescent="0.35">
      <c r="A15" s="4" t="s">
        <v>45</v>
      </c>
      <c r="B15" s="4" t="s">
        <v>46</v>
      </c>
      <c r="C15" s="4" t="s">
        <v>22</v>
      </c>
      <c r="D15" s="4" t="s">
        <v>19</v>
      </c>
      <c r="E15" s="2">
        <v>2</v>
      </c>
      <c r="F15" s="2">
        <v>38000</v>
      </c>
      <c r="G15" s="2">
        <v>4000</v>
      </c>
      <c r="H15" s="2">
        <v>220000</v>
      </c>
      <c r="I15" s="2">
        <v>205000</v>
      </c>
      <c r="J15" s="2">
        <v>76</v>
      </c>
      <c r="K15" s="2">
        <v>90</v>
      </c>
      <c r="L15" s="2">
        <v>11</v>
      </c>
      <c r="M15" s="2">
        <f>SUM(Table1[[#This Row],[Basic_Salary]],Table1[[#This Row],[Bonus]])</f>
        <v>42000</v>
      </c>
      <c r="N15" s="2" t="str">
        <f>IF(Table1[[#This Row],[Sales_Achieved]]&gt;Table1[[#This Row],[Sales_Target]],"ACHIVED","NOT ACHIVED")</f>
        <v>NOT ACHIVED</v>
      </c>
      <c r="O15" s="2" t="str">
        <f>IF(AND(Table1[[#This Row],[Performance_Score]]&gt;85,Table1[[#This Row],[Attendance_%]]&gt;90),"EXCELLENT","NEED IMPROVEMENT")</f>
        <v>NEED IMPROVEMENT</v>
      </c>
      <c r="P15" s="2" t="str">
        <f>IF(OR(Table1[[#This Row],[Department]]=C17=Table1[[#This Row],[Department]]=C18),"ELIGIBIE","NOT ELIGIBILE")</f>
        <v>NOT ELIGIBILE</v>
      </c>
    </row>
    <row r="16" spans="1:16" x14ac:dyDescent="0.35">
      <c r="A16" s="4" t="s">
        <v>47</v>
      </c>
      <c r="B16" s="4" t="s">
        <v>48</v>
      </c>
      <c r="C16" s="4" t="s">
        <v>14</v>
      </c>
      <c r="D16" s="4" t="s">
        <v>26</v>
      </c>
      <c r="E16" s="2">
        <v>6</v>
      </c>
      <c r="F16" s="2">
        <v>52000</v>
      </c>
      <c r="G16" s="2">
        <v>7000</v>
      </c>
      <c r="H16" s="2">
        <v>400000</v>
      </c>
      <c r="I16" s="2">
        <v>440000</v>
      </c>
      <c r="J16" s="2">
        <v>94</v>
      </c>
      <c r="K16" s="2">
        <v>98</v>
      </c>
      <c r="L16" s="2">
        <v>19</v>
      </c>
      <c r="M16" s="2">
        <f>SUM(Table1[[#This Row],[Basic_Salary]],Table1[[#This Row],[Bonus]])</f>
        <v>59000</v>
      </c>
      <c r="N16" s="2" t="str">
        <f>IF(Table1[[#This Row],[Sales_Achieved]]&gt;Table1[[#This Row],[Sales_Target]],"ACHIVED","NOT ACHIVED")</f>
        <v>ACHIVED</v>
      </c>
      <c r="O16" s="2" t="str">
        <f>IF(AND(Table1[[#This Row],[Performance_Score]]&gt;85,Table1[[#This Row],[Attendance_%]]&gt;90),"EXCELLENT","NEED IMPROVEMENT")</f>
        <v>EXCELLENT</v>
      </c>
      <c r="P16" s="2" t="str">
        <f>IF(OR(Table1[[#This Row],[Department]]=C18=Table1[[#This Row],[Department]]=C19),"ELIGIBIE","NOT ELIGIBILE")</f>
        <v>NOT ELIGIBILE</v>
      </c>
    </row>
    <row r="17" spans="1:16" x14ac:dyDescent="0.35">
      <c r="A17" s="4" t="s">
        <v>49</v>
      </c>
      <c r="B17" s="4" t="s">
        <v>50</v>
      </c>
      <c r="C17" s="4" t="s">
        <v>18</v>
      </c>
      <c r="D17" s="4" t="s">
        <v>19</v>
      </c>
      <c r="E17" s="2">
        <v>5</v>
      </c>
      <c r="F17" s="2">
        <v>44000</v>
      </c>
      <c r="G17" s="2">
        <v>4800</v>
      </c>
      <c r="H17" s="2">
        <v>190000</v>
      </c>
      <c r="I17" s="2">
        <v>185000</v>
      </c>
      <c r="J17" s="2">
        <v>79</v>
      </c>
      <c r="K17" s="2">
        <v>88</v>
      </c>
      <c r="L17" s="2">
        <v>8</v>
      </c>
      <c r="M17" s="2">
        <f>SUM(Table1[[#This Row],[Basic_Salary]],Table1[[#This Row],[Bonus]])</f>
        <v>48800</v>
      </c>
      <c r="N17" s="2" t="str">
        <f>IF(Table1[[#This Row],[Sales_Achieved]]&gt;Table1[[#This Row],[Sales_Target]],"ACHIVED","NOT ACHIVED")</f>
        <v>NOT ACHIVED</v>
      </c>
      <c r="O17" s="2" t="str">
        <f>IF(AND(Table1[[#This Row],[Performance_Score]]&gt;85,Table1[[#This Row],[Attendance_%]]&gt;90),"EXCELLENT","NEED IMPROVEMENT")</f>
        <v>NEED IMPROVEMENT</v>
      </c>
      <c r="P17" s="2" t="str">
        <f>IF(OR(Table1[[#This Row],[Department]]=C19=Table1[[#This Row],[Department]]=C20),"ELIGIBIE","NOT ELIGIBILE")</f>
        <v>NOT ELIGIBILE</v>
      </c>
    </row>
    <row r="18" spans="1:16" x14ac:dyDescent="0.35">
      <c r="A18" s="4" t="s">
        <v>51</v>
      </c>
      <c r="B18" s="4" t="s">
        <v>52</v>
      </c>
      <c r="C18" s="4" t="s">
        <v>22</v>
      </c>
      <c r="D18" s="4" t="s">
        <v>15</v>
      </c>
      <c r="E18" s="2">
        <v>4</v>
      </c>
      <c r="F18" s="2">
        <v>47000</v>
      </c>
      <c r="G18" s="2">
        <v>5800</v>
      </c>
      <c r="H18" s="2">
        <v>280000</v>
      </c>
      <c r="I18" s="2">
        <v>300000</v>
      </c>
      <c r="J18" s="2">
        <v>87</v>
      </c>
      <c r="K18" s="2">
        <v>95</v>
      </c>
      <c r="L18" s="2">
        <v>13</v>
      </c>
      <c r="M18" s="2">
        <f>SUM(Table1[[#This Row],[Basic_Salary]],Table1[[#This Row],[Bonus]])</f>
        <v>52800</v>
      </c>
      <c r="N18" s="2" t="str">
        <f>IF(Table1[[#This Row],[Sales_Achieved]]&gt;Table1[[#This Row],[Sales_Target]],"ACHIVED","NOT ACHIVED")</f>
        <v>ACHIVED</v>
      </c>
      <c r="O18" s="2" t="str">
        <f>IF(AND(Table1[[#This Row],[Performance_Score]]&gt;85,Table1[[#This Row],[Attendance_%]]&gt;90),"EXCELLENT","NEED IMPROVEMENT")</f>
        <v>EXCELLENT</v>
      </c>
      <c r="P18" s="2" t="str">
        <f>IF(OR(Table1[[#This Row],[Department]]=C20=Table1[[#This Row],[Department]]=C21),"ELIGIBIE","NOT ELIGIBILE")</f>
        <v>NOT ELIGIBILE</v>
      </c>
    </row>
    <row r="19" spans="1:16" x14ac:dyDescent="0.35">
      <c r="A19" s="4" t="s">
        <v>53</v>
      </c>
      <c r="B19" s="4" t="s">
        <v>54</v>
      </c>
      <c r="C19" s="4" t="s">
        <v>25</v>
      </c>
      <c r="D19" s="4" t="s">
        <v>15</v>
      </c>
      <c r="E19" s="2">
        <v>2</v>
      </c>
      <c r="F19" s="2">
        <v>37000</v>
      </c>
      <c r="G19" s="2">
        <v>3500</v>
      </c>
      <c r="H19" s="2">
        <v>170000</v>
      </c>
      <c r="I19" s="2">
        <v>180000</v>
      </c>
      <c r="J19" s="2">
        <v>83</v>
      </c>
      <c r="K19" s="2">
        <v>93</v>
      </c>
      <c r="L19" s="2">
        <v>7</v>
      </c>
      <c r="M19" s="2">
        <f>SUM(Table1[[#This Row],[Basic_Salary]],Table1[[#This Row],[Bonus]])</f>
        <v>40500</v>
      </c>
      <c r="N19" s="2" t="str">
        <f>IF(Table1[[#This Row],[Sales_Achieved]]&gt;Table1[[#This Row],[Sales_Target]],"ACHIVED","NOT ACHIVED")</f>
        <v>ACHIVED</v>
      </c>
      <c r="O19" s="2" t="str">
        <f>IF(AND(Table1[[#This Row],[Performance_Score]]&gt;85,Table1[[#This Row],[Attendance_%]]&gt;90),"EXCELLENT","NEED IMPROVEMENT")</f>
        <v>NEED IMPROVEMENT</v>
      </c>
      <c r="P19" s="2" t="str">
        <f>IF(OR(Table1[[#This Row],[Department]]=C21=Table1[[#This Row],[Department]]=C22),"ELIGIBIE","NOT ELIGIBILE")</f>
        <v>ELIGIBIE</v>
      </c>
    </row>
    <row r="20" spans="1:16" x14ac:dyDescent="0.35">
      <c r="A20" s="4" t="s">
        <v>55</v>
      </c>
      <c r="B20" s="4" t="s">
        <v>56</v>
      </c>
      <c r="C20" s="4" t="s">
        <v>14</v>
      </c>
      <c r="D20" s="4" t="s">
        <v>19</v>
      </c>
      <c r="E20" s="2">
        <v>3</v>
      </c>
      <c r="F20" s="2">
        <v>34000</v>
      </c>
      <c r="G20" s="2">
        <v>4500</v>
      </c>
      <c r="H20" s="2">
        <v>300000</v>
      </c>
      <c r="I20" s="2">
        <v>310000</v>
      </c>
      <c r="J20" s="2">
        <v>86</v>
      </c>
      <c r="K20" s="2">
        <v>91</v>
      </c>
      <c r="L20" s="2">
        <v>10</v>
      </c>
      <c r="M20" s="2">
        <f>SUM(Table1[[#This Row],[Basic_Salary]],Table1[[#This Row],[Bonus]])</f>
        <v>38500</v>
      </c>
      <c r="N20" s="2" t="str">
        <f>IF(Table1[[#This Row],[Sales_Achieved]]&gt;Table1[[#This Row],[Sales_Target]],"ACHIVED","NOT ACHIVED")</f>
        <v>ACHIVED</v>
      </c>
      <c r="O20" s="2" t="str">
        <f>IF(AND(Table1[[#This Row],[Performance_Score]]&gt;85,Table1[[#This Row],[Attendance_%]]&gt;90),"EXCELLENT","NEED IMPROVEMENT")</f>
        <v>EXCELLENT</v>
      </c>
      <c r="P20" s="2" t="str">
        <f>IF(OR(Table1[[#This Row],[Department]]=C22=Table1[[#This Row],[Department]]=C23),"ELIGIBIE","NOT ELIGIBILE")</f>
        <v>NOT ELIGIBILE</v>
      </c>
    </row>
    <row r="21" spans="1:16" x14ac:dyDescent="0.35">
      <c r="A21" s="4" t="s">
        <v>57</v>
      </c>
      <c r="B21" s="4" t="s">
        <v>58</v>
      </c>
      <c r="C21" s="4" t="s">
        <v>22</v>
      </c>
      <c r="D21" s="4" t="s">
        <v>26</v>
      </c>
      <c r="E21" s="2">
        <v>5</v>
      </c>
      <c r="F21" s="2">
        <v>58000</v>
      </c>
      <c r="G21" s="2">
        <v>8000</v>
      </c>
      <c r="H21" s="2">
        <v>330000</v>
      </c>
      <c r="I21" s="2">
        <v>350000</v>
      </c>
      <c r="J21" s="2">
        <v>90</v>
      </c>
      <c r="K21" s="2">
        <v>96</v>
      </c>
      <c r="L21" s="2">
        <v>17</v>
      </c>
      <c r="M21" s="2">
        <f>SUM(Table1[[#This Row],[Basic_Salary]],Table1[[#This Row],[Bonus]])</f>
        <v>66000</v>
      </c>
      <c r="N21" s="2" t="str">
        <f>IF(Table1[[#This Row],[Sales_Achieved]]&gt;Table1[[#This Row],[Sales_Target]],"ACHIVED","NOT ACHIVED")</f>
        <v>ACHIVED</v>
      </c>
      <c r="O21" s="2" t="str">
        <f>IF(AND(Table1[[#This Row],[Performance_Score]]&gt;85,Table1[[#This Row],[Attendance_%]]&gt;90),"EXCELLENT","NEED IMPROVEMENT")</f>
        <v>EXCELLENT</v>
      </c>
      <c r="P21" s="2" t="str">
        <f>IF(OR(Table1[[#This Row],[Department]]=C23=Table1[[#This Row],[Department]]=C24),"ELIGIBIE","NOT ELIGIBILE")</f>
        <v>NOT ELIGIBILE</v>
      </c>
    </row>
    <row r="23" spans="1:16" x14ac:dyDescent="0.35">
      <c r="B23" t="s">
        <v>85</v>
      </c>
      <c r="C23" t="s">
        <v>86</v>
      </c>
    </row>
    <row r="24" spans="1:16" x14ac:dyDescent="0.35">
      <c r="B24">
        <v>1</v>
      </c>
      <c r="C24">
        <f>SUM(Table1[Basic_Salary])</f>
        <v>867000</v>
      </c>
    </row>
    <row r="25" spans="1:16" x14ac:dyDescent="0.35">
      <c r="B25">
        <v>2</v>
      </c>
      <c r="C25">
        <f>MIN(Table1[Basic_Salary])</f>
        <v>26000</v>
      </c>
    </row>
    <row r="26" spans="1:16" x14ac:dyDescent="0.35">
      <c r="B26">
        <v>3</v>
      </c>
      <c r="C26">
        <f>MAX(DATASET!F2:F22)</f>
        <v>68000</v>
      </c>
    </row>
    <row r="27" spans="1:16" x14ac:dyDescent="0.35">
      <c r="B27">
        <v>4</v>
      </c>
      <c r="C27">
        <f>SUM(Table1[Bonus])</f>
        <v>106300</v>
      </c>
    </row>
    <row r="28" spans="1:16" x14ac:dyDescent="0.35">
      <c r="B28">
        <v>9</v>
      </c>
      <c r="C28">
        <f>SUMIF(Table1[Department],C2,Table1[Basic_Salary])</f>
        <v>224000</v>
      </c>
    </row>
    <row r="29" spans="1:16" x14ac:dyDescent="0.35">
      <c r="B29">
        <v>10</v>
      </c>
      <c r="C29">
        <f>SUMIF(Table1[Department],C18,Table1[Bonus])</f>
        <v>39800</v>
      </c>
    </row>
    <row r="30" spans="1:16" x14ac:dyDescent="0.35">
      <c r="B30">
        <v>11</v>
      </c>
      <c r="C30">
        <f>SUMIF(Table1[Location],D19,I2:I21)</f>
        <v>1982000</v>
      </c>
    </row>
    <row r="31" spans="1:16" x14ac:dyDescent="0.35">
      <c r="B31">
        <v>12</v>
      </c>
      <c r="C31">
        <f>SUMIFS(Table1[Basic_Salary],Table1[Department],"Sales",Table1[Location],"Calicut")</f>
        <v>105000</v>
      </c>
    </row>
    <row r="32" spans="1:16" x14ac:dyDescent="0.35">
      <c r="B32">
        <v>13</v>
      </c>
      <c r="C32">
        <f ca="1">SUMIF(Table1[Performance_Score],"&gt;=90",G3:G21)</f>
        <v>26500</v>
      </c>
    </row>
    <row r="33" spans="2:3" x14ac:dyDescent="0.35">
      <c r="B33">
        <v>14</v>
      </c>
      <c r="C33">
        <f>COUNTIF(Table1[Department],C18)</f>
        <v>6</v>
      </c>
    </row>
    <row r="34" spans="2:3" x14ac:dyDescent="0.35">
      <c r="B34">
        <v>15</v>
      </c>
      <c r="C34">
        <f>COUNTIF(Table1[Location],D19)</f>
        <v>7</v>
      </c>
    </row>
    <row r="35" spans="2:3" x14ac:dyDescent="0.35">
      <c r="B35">
        <v>16</v>
      </c>
      <c r="C35">
        <f>COUNTIF(Table1[Performance_Score],"&gt;=85")</f>
        <v>12</v>
      </c>
    </row>
    <row r="36" spans="2:3" x14ac:dyDescent="0.35">
      <c r="B36">
        <v>17</v>
      </c>
      <c r="C36">
        <f>COUNTIF(Table1[Attendance_%],"&gt;=95")</f>
        <v>9</v>
      </c>
    </row>
    <row r="37" spans="2:3" x14ac:dyDescent="0.35">
      <c r="B37">
        <v>18</v>
      </c>
      <c r="C37">
        <f>AVERAGEIF(C2:C20,C20,Table1[Basic_Salary])</f>
        <v>37333.333333333336</v>
      </c>
    </row>
    <row r="38" spans="2:3" x14ac:dyDescent="0.35">
      <c r="B38">
        <v>19</v>
      </c>
      <c r="C38">
        <f>AVERAGEIF(Table1[Department],C21,Table1[Performance_Score])</f>
        <v>89.666666666666671</v>
      </c>
    </row>
    <row r="39" spans="2:3" x14ac:dyDescent="0.35">
      <c r="B39">
        <v>20</v>
      </c>
      <c r="C39">
        <f>AVERAGEIF(Table1[Location],D19,Table1[Sales_Achieved])</f>
        <v>283142.85714285716</v>
      </c>
    </row>
    <row r="40" spans="2:3" x14ac:dyDescent="0.35">
      <c r="B40">
        <v>21</v>
      </c>
      <c r="C40">
        <f>SUMIF(Table1[Experience_Years],"&gt;=5",Table1[Basic_Salary])</f>
        <v>432000</v>
      </c>
    </row>
    <row r="41" spans="2:3" x14ac:dyDescent="0.35">
      <c r="B41">
        <v>22</v>
      </c>
      <c r="C41">
        <f>SUMIFS(Table1[Sales_Achieved],Table1[Department],C21,Table1[Location],D21)</f>
        <v>775000</v>
      </c>
    </row>
    <row r="42" spans="2:3" x14ac:dyDescent="0.35">
      <c r="B42">
        <v>23</v>
      </c>
      <c r="C42">
        <f>SUMIFS(Table1[Bonus],Table1[Department],C20,Table1[Performance_Score],"&gt;=85")</f>
        <v>27000</v>
      </c>
    </row>
    <row r="43" spans="2:3" x14ac:dyDescent="0.35">
      <c r="B43">
        <v>24</v>
      </c>
      <c r="C43">
        <f>COUNTIFS(Table1[Location],D20,Table1[Performance_Score],"&gt;=85")</f>
        <v>2</v>
      </c>
    </row>
    <row r="44" spans="2:3" x14ac:dyDescent="0.35">
      <c r="B44">
        <v>25</v>
      </c>
      <c r="C44">
        <f>AVERAGEIFS(Table1[Basic_Salary],Table1[Department],C19,Table1[Location],D21)</f>
        <v>58000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B9D-B4FB-4B46-BB3D-2C6843CEAF71}">
  <dimension ref="A1:B26"/>
  <sheetViews>
    <sheetView topLeftCell="A9" workbookViewId="0">
      <selection activeCell="B19" sqref="B19"/>
    </sheetView>
  </sheetViews>
  <sheetFormatPr defaultRowHeight="14.5" x14ac:dyDescent="0.35"/>
  <cols>
    <col min="2" max="2" width="170.36328125" customWidth="1"/>
  </cols>
  <sheetData>
    <row r="1" spans="1:2" x14ac:dyDescent="0.35">
      <c r="A1" s="3" t="s">
        <v>59</v>
      </c>
      <c r="B1" s="1" t="s">
        <v>60</v>
      </c>
    </row>
    <row r="2" spans="1:2" x14ac:dyDescent="0.35">
      <c r="A2" s="2">
        <v>1</v>
      </c>
      <c r="B2" s="4" t="s">
        <v>61</v>
      </c>
    </row>
    <row r="3" spans="1:2" x14ac:dyDescent="0.35">
      <c r="A3" s="2">
        <v>2</v>
      </c>
      <c r="B3" s="4" t="s">
        <v>62</v>
      </c>
    </row>
    <row r="4" spans="1:2" x14ac:dyDescent="0.35">
      <c r="A4" s="2">
        <v>3</v>
      </c>
      <c r="B4" s="4" t="s">
        <v>63</v>
      </c>
    </row>
    <row r="5" spans="1:2" x14ac:dyDescent="0.35">
      <c r="A5" s="2">
        <v>4</v>
      </c>
      <c r="B5" s="4" t="s">
        <v>64</v>
      </c>
    </row>
    <row r="6" spans="1:2" x14ac:dyDescent="0.35">
      <c r="A6" s="2">
        <v>5</v>
      </c>
      <c r="B6" s="4" t="s">
        <v>65</v>
      </c>
    </row>
    <row r="7" spans="1:2" x14ac:dyDescent="0.35">
      <c r="A7" s="2">
        <v>6</v>
      </c>
      <c r="B7" s="4" t="s">
        <v>66</v>
      </c>
    </row>
    <row r="8" spans="1:2" x14ac:dyDescent="0.35">
      <c r="A8" s="2">
        <v>7</v>
      </c>
      <c r="B8" s="4" t="s">
        <v>67</v>
      </c>
    </row>
    <row r="9" spans="1:2" x14ac:dyDescent="0.35">
      <c r="A9" s="2">
        <v>8</v>
      </c>
      <c r="B9" s="4" t="s">
        <v>68</v>
      </c>
    </row>
    <row r="10" spans="1:2" x14ac:dyDescent="0.35">
      <c r="A10" s="2">
        <v>9</v>
      </c>
      <c r="B10" s="4" t="s">
        <v>69</v>
      </c>
    </row>
    <row r="11" spans="1:2" x14ac:dyDescent="0.35">
      <c r="A11" s="2">
        <v>10</v>
      </c>
      <c r="B11" s="4" t="s">
        <v>70</v>
      </c>
    </row>
    <row r="12" spans="1:2" x14ac:dyDescent="0.35">
      <c r="A12" s="2">
        <v>11</v>
      </c>
      <c r="B12" s="4" t="s">
        <v>71</v>
      </c>
    </row>
    <row r="13" spans="1:2" x14ac:dyDescent="0.35">
      <c r="A13" s="2">
        <v>12</v>
      </c>
      <c r="B13" s="4" t="s">
        <v>72</v>
      </c>
    </row>
    <row r="14" spans="1:2" x14ac:dyDescent="0.35">
      <c r="A14" s="2">
        <v>13</v>
      </c>
      <c r="B14" s="4" t="s">
        <v>73</v>
      </c>
    </row>
    <row r="15" spans="1:2" x14ac:dyDescent="0.35">
      <c r="A15" s="2">
        <v>14</v>
      </c>
      <c r="B15" s="4" t="s">
        <v>74</v>
      </c>
    </row>
    <row r="16" spans="1:2" x14ac:dyDescent="0.35">
      <c r="A16" s="2">
        <v>15</v>
      </c>
      <c r="B16" s="4" t="s">
        <v>75</v>
      </c>
    </row>
    <row r="17" spans="1:2" x14ac:dyDescent="0.35">
      <c r="A17" s="2">
        <v>16</v>
      </c>
      <c r="B17" s="4" t="s">
        <v>76</v>
      </c>
    </row>
    <row r="18" spans="1:2" x14ac:dyDescent="0.35">
      <c r="A18" s="2">
        <v>17</v>
      </c>
      <c r="B18" s="4" t="s">
        <v>91</v>
      </c>
    </row>
    <row r="19" spans="1:2" x14ac:dyDescent="0.35">
      <c r="A19" s="2">
        <v>18</v>
      </c>
      <c r="B19" s="4" t="s">
        <v>77</v>
      </c>
    </row>
    <row r="20" spans="1:2" x14ac:dyDescent="0.35">
      <c r="A20" s="2">
        <v>19</v>
      </c>
      <c r="B20" s="4" t="s">
        <v>78</v>
      </c>
    </row>
    <row r="21" spans="1:2" x14ac:dyDescent="0.35">
      <c r="A21" s="2">
        <v>20</v>
      </c>
      <c r="B21" s="4" t="s">
        <v>79</v>
      </c>
    </row>
    <row r="22" spans="1:2" x14ac:dyDescent="0.35">
      <c r="A22" s="2">
        <v>21</v>
      </c>
      <c r="B22" s="4" t="s">
        <v>80</v>
      </c>
    </row>
    <row r="23" spans="1:2" x14ac:dyDescent="0.35">
      <c r="A23" s="2">
        <v>22</v>
      </c>
      <c r="B23" s="4" t="s">
        <v>81</v>
      </c>
    </row>
    <row r="24" spans="1:2" x14ac:dyDescent="0.35">
      <c r="A24" s="2">
        <v>23</v>
      </c>
      <c r="B24" s="4" t="s">
        <v>82</v>
      </c>
    </row>
    <row r="25" spans="1:2" x14ac:dyDescent="0.35">
      <c r="A25" s="2">
        <v>24</v>
      </c>
      <c r="B25" s="4" t="s">
        <v>83</v>
      </c>
    </row>
    <row r="26" spans="1:2" x14ac:dyDescent="0.35">
      <c r="A26" s="2">
        <v>25</v>
      </c>
      <c r="B26" s="4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 Mariyam K</dc:creator>
  <cp:lastModifiedBy>Muhammed safwam</cp:lastModifiedBy>
  <dcterms:created xsi:type="dcterms:W3CDTF">2026-09-10T04:01:54Z</dcterms:created>
  <dcterms:modified xsi:type="dcterms:W3CDTF">2026-09-14T09:17:49Z</dcterms:modified>
</cp:coreProperties>
</file>