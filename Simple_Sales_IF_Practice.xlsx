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IS\"/>
    </mc:Choice>
  </mc:AlternateContent>
  <xr:revisionPtr revIDLastSave="0" documentId="8_{BC3A7F82-972B-4EB8-AE6A-72B60A52E7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I2" i="1"/>
  <c r="I3" i="1"/>
  <c r="I4" i="1"/>
  <c r="I5" i="1"/>
  <c r="I6" i="1"/>
  <c r="I7" i="1"/>
  <c r="I8" i="1"/>
  <c r="I9" i="1"/>
  <c r="I10" i="1"/>
  <c r="I11" i="1"/>
  <c r="I12" i="1"/>
  <c r="I13" i="1"/>
  <c r="H2" i="1"/>
  <c r="H3" i="1"/>
  <c r="H4" i="1"/>
  <c r="H5" i="1"/>
  <c r="H6" i="1"/>
  <c r="H7" i="1"/>
  <c r="H8" i="1"/>
  <c r="H9" i="1"/>
  <c r="H10" i="1"/>
  <c r="H11" i="1"/>
  <c r="H12" i="1"/>
  <c r="H13" i="1"/>
  <c r="G2" i="1"/>
  <c r="G3" i="1"/>
  <c r="G4" i="1"/>
  <c r="G5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<sst xmlns="http://schemas.openxmlformats.org/spreadsheetml/2006/main" count="58" uniqueCount="36">
  <si>
    <t>Order_ID</t>
  </si>
  <si>
    <t>Salesperson</t>
  </si>
  <si>
    <t>Region</t>
  </si>
  <si>
    <t>Product</t>
  </si>
  <si>
    <t>Quantity</t>
  </si>
  <si>
    <t>Sales_Amount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</si>
  <si>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</si>
  <si>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</si>
  <si>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</si>
  <si>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</si>
  <si>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</si>
  <si>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</si>
  <si>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</si>
  <si>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</si>
  <si>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</si>
  <si>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</si>
  <si>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</si>
  <si>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</si>
  <si>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Anu</t>
  </si>
  <si>
    <t>Rahul</t>
  </si>
  <si>
    <t>Meera</t>
  </si>
  <si>
    <t>Arjun</t>
  </si>
  <si>
    <t>Fathima</t>
  </si>
  <si>
    <t>Nikhil</t>
  </si>
  <si>
    <t>North</t>
  </si>
  <si>
    <t>South</t>
  </si>
  <si>
    <t>East</t>
  </si>
  <si>
    <t>West</t>
  </si>
  <si>
    <t>Laptop</t>
  </si>
  <si>
    <t>Monitor</t>
  </si>
  <si>
    <t>Keyboard</t>
  </si>
  <si>
    <t>Mouse</t>
  </si>
  <si>
    <t>SALE CATEGORY</t>
  </si>
  <si>
    <t>Quantity Category</t>
  </si>
  <si>
    <t>Target status</t>
  </si>
  <si>
    <t>Salesperson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</si>
</sst>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68374-15A2-4D11-A014-1EA963B90ECD}" name="Table1" displayName="Table1" ref="A1:J13" totalsRowShown="0" headerRowDxfId="6" headerRowBorderDxfId="5" tableBorderDxfId="4">
  <autoFilter ref="A1:J13" xr:uid="{72068374-15A2-4D11-A014-1EA963B90ECD}"/>
  <tableColumns count="10">
    <tableColumn id="1" xr3:uid="{356C7103-1B41-46DC-8863-2B15CA95C2C5}" name="Order_ID"/>
    <tableColumn id="2" xr3:uid="{05741211-45B3-4069-A13E-364EC4E68E72}" name="Salesperson"/>
    <tableColumn id="3" xr3:uid="{6A8119BB-D23D-414A-9AB1-A617CEB5576B}" name="Region"/>
    <tableColumn id="4" xr3:uid="{1E38B19D-9D02-4CC4-833A-ADF1B7D993CC}" name="Product"/>
    <tableColumn id="5" xr3:uid="{C4E032CA-B618-484E-A2D0-CCD828FF2ACF}" name="Quantity"/>
    <tableColumn id="6" xr3:uid="{166947D4-1822-4A4D-9199-D1BF14CBCEF5}" name="Sales_Amount"/>
    <tableColumn id="8" xr3:uid="{7D3AC69E-35AC-4DC3-B298-69B6C2D52F99}" name="SALE CATEGORY" dataDxfId="3">
      <calculatedColumnFormula>IF(Table1[[#This Row],[Sales_Amount]]&gt;=100000,"High sale","Low sale")</calculatedColumnFormula>
    </tableColumn>
    <tableColumn id="10" xr3:uid="{4E90514C-8A72-47D8-91F2-428370B9864C}" name="Quantity Category" dataDxfId="2">
      <calculatedColumnFormula>IF(Table1[[#This Row],[Quantity]]&gt;=10,"Bulk Order","regular order")</calculatedColumnFormula>
    </tableColumn>
    <tableColumn id="11" xr3:uid="{F38482A1-A59F-4B21-AE52-90EBBBED0885}" name="Target status" dataDxfId="1">
      <calculatedColumnFormula>IF(AND(Table1[[#This Row],[Quantity]]&gt;=5,Table1[[#This Row],[Sales_Amount]]&gt;=100000),"TARGET ACHIVED","TARGET NOT ACHIVED")</calculatedColumnFormula>
    </tableColumn>
    <tableColumn id="12" xr3:uid="{94D65C56-5557-4477-A74E-9CC87661A1F8}" name="Salesperson performance" dataDxfId="0">
      <calculatedColumnFormula>IF(AND(Table1[[#This Row],[Sales_Amount]]&gt;=200000,Table1[[#This Row],[Quantity]]&gt;=5),"Excellent","Needs improvement")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98" workbookViewId="0">
      <selection activeCell="L13" sqref="L13"/>
    </sheetView>
  </sheetViews>
  <sheetFormatPr defaultRowHeight="14.5" x14ac:dyDescent="0.35"/>
  <cols>
    <col min="1" max="1" width="10.54296875" customWidth="1"/>
    <col min="2" max="2" width="12.81640625" customWidth="1"/>
    <col min="4" max="4" width="9.453125" customWidth="1"/>
    <col min="5" max="6" width="10.1796875" customWidth="1"/>
    <col min="7" max="7" width="14.81640625" customWidth="1"/>
    <col min="8" max="9" width="21.81640625" customWidth="1"/>
    <col min="10" max="10" width="27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35">
      <c r="A2" t="s">
        <v>6</v>
      </c>
      <c r="B2" t="s">
        <v>18</v>
      </c>
      <c r="C2" t="s">
        <v>24</v>
      </c>
      <c r="D2" t="s">
        <v>28</v>
      </c>
      <c r="E2">
        <v>5</v>
      </c>
      <c r="F2">
        <v>250000</v>
      </c>
      <c r="G2" t="str">
        <f>IF(Table1[[#This Row],[Sales_Amount]]&gt;=100000,"High sale","Low sale")</f>
        <v>High sale</v>
      </c>
      <c r="H2" t="str">
        <f>IF(Table1[[#This Row],[Quantity]]&gt;=10,"Bulk Order","regular order")</f>
        <v>regular order</v>
      </c>
      <c r="I2" t="str">
        <f>IF(AND(Table1[[#This Row],[Quantity]]&gt;=5,Table1[[#This Row],[Sales_Amount]]&gt;=100000),"TARGET ACHIVED","TARGET NOT ACHIVED")</f>
        <v>TARGET ACHIVED</v>
      </c>
      <c r="J2" t="str">
        <f>IF(AND(Table1[[#This Row],[Sales_Amount]]&gt;=200000,Table1[[#This Row],[Quantity]]&gt;=5),"Excellent","Needs improvement")</f>
        <v>Excellent</v>
      </c>
    </row>
    <row r="3" spans="1:10" x14ac:dyDescent="0.35">
      <c r="A3" t="s">
        <v>7</v>
      </c>
      <c r="B3" t="s">
        <v>19</v>
      </c>
      <c r="C3" t="s">
        <v>25</v>
      </c>
      <c r="D3" t="s">
        <v>29</v>
      </c>
      <c r="E3">
        <v>8</v>
      </c>
      <c r="F3">
        <v>120000</v>
      </c>
      <c r="G3" t="str">
        <f>IF(Table1[[#This Row],[Sales_Amount]]&gt;=100000,"High sale","Low sale")</f>
        <v>High sale</v>
      </c>
      <c r="H3" t="str">
        <f>IF(Table1[[#This Row],[Quantity]]&gt;=10,"Bulk Order","regular order")</f>
        <v>regular order</v>
      </c>
      <c r="I3" t="str">
        <f>IF(AND(Table1[[#This Row],[Quantity]]&gt;=5,Table1[[#This Row],[Sales_Amount]]&gt;=100000),"TARGET ACHIVED","TARGET NOT ACHIVED")</f>
        <v>TARGET ACHIVED</v>
      </c>
      <c r="J3" t="str">
        <f>IF(AND(Table1[[#This Row],[Sales_Amount]]&gt;=200000,Table1[[#This Row],[Quantity]]&gt;=5),"Excellent","Needs improvement")</f>
        <v>Needs improvement</v>
      </c>
    </row>
    <row r="4" spans="1:10" x14ac:dyDescent="0.35">
      <c r="A4" t="s">
        <v>8</v>
      </c>
      <c r="B4" t="s">
        <v>20</v>
      </c>
      <c r="C4" t="s">
        <v>26</v>
      </c>
      <c r="D4" t="s">
        <v>30</v>
      </c>
      <c r="E4">
        <v>12</v>
      </c>
      <c r="F4">
        <v>18000</v>
      </c>
      <c r="G4" t="str">
        <f>IF(Table1[[#This Row],[Sales_Amount]]&gt;=100000,"High sale","Low sale")</f>
        <v>Low sale</v>
      </c>
      <c r="H4" t="str">
        <f>IF(Table1[[#This Row],[Quantity]]&gt;=10,"Bulk Order","regular order")</f>
        <v>Bulk Order</v>
      </c>
      <c r="I4" t="str">
        <f>IF(AND(Table1[[#This Row],[Quantity]]&gt;=5,Table1[[#This Row],[Sales_Amount]]&gt;=100000),"TARGET ACHIVED","TARGET NOT ACHIVED")</f>
        <v>TARGET NOT ACHIVED</v>
      </c>
      <c r="J4" t="str">
        <f>IF(AND(Table1[[#This Row],[Sales_Amount]]&gt;=200000,Table1[[#This Row],[Quantity]]&gt;=5),"Excellent","Needs improvement")</f>
        <v>Needs improvement</v>
      </c>
    </row>
    <row r="5" spans="1:10" x14ac:dyDescent="0.35">
      <c r="A5" t="s">
        <v>9</v>
      </c>
      <c r="B5" t="s">
        <v>21</v>
      </c>
      <c r="C5" t="s">
        <v>27</v>
      </c>
      <c r="D5" t="s">
        <v>28</v>
      </c>
      <c r="E5">
        <v>3</v>
      </c>
      <c r="F5">
        <v>150000</v>
      </c>
      <c r="G5" t="str">
        <f>IF(Table1[[#This Row],[Sales_Amount]]&gt;=100000,"High sale","Low sale")</f>
        <v>High sale</v>
      </c>
      <c r="H5" t="str">
        <f>IF(Table1[[#This Row],[Quantity]]&gt;=10,"Bulk Order","regular order")</f>
        <v>regular order</v>
      </c>
      <c r="I5" t="str">
        <f>IF(AND(Table1[[#This Row],[Quantity]]&gt;=5,Table1[[#This Row],[Sales_Amount]]&gt;=100000),"TARGET ACHIVED","TARGET NOT ACHIVED")</f>
        <v>TARGET NOT ACHIVED</v>
      </c>
      <c r="J5" t="str">
        <f>IF(AND(Table1[[#This Row],[Sales_Amount]]&gt;=200000,Table1[[#This Row],[Quantity]]&gt;=5),"Excellent","Needs improvement")</f>
        <v>Needs improvement</v>
      </c>
    </row>
    <row r="6" spans="1:10" x14ac:dyDescent="0.35">
      <c r="A6" t="s">
        <v>10</v>
      </c>
      <c r="B6" t="s">
        <v>22</v>
      </c>
      <c r="C6" t="s">
        <v>24</v>
      </c>
      <c r="D6" t="s">
        <v>31</v>
      </c>
      <c r="E6">
        <v>15</v>
      </c>
      <c r="F6">
        <v>22500</v>
      </c>
      <c r="G6" t="str">
        <f>IF(Table1[[#This Row],[Sales_Amount]]&gt;=100000,"High sale","Low sale")</f>
        <v>Low sale</v>
      </c>
      <c r="H6" t="str">
        <f>IF(Table1[[#This Row],[Quantity]]&gt;=10,"Bulk Order","regular order")</f>
        <v>Bulk Order</v>
      </c>
      <c r="I6" t="str">
        <f>IF(AND(Table1[[#This Row],[Quantity]]&gt;=5,Table1[[#This Row],[Sales_Amount]]&gt;=100000),"TARGET ACHIVED","TARGET NOT ACHIVED")</f>
        <v>TARGET NOT ACHIVED</v>
      </c>
      <c r="J6" t="str">
        <f>IF(AND(Table1[[#This Row],[Sales_Amount]]&gt;=200000,Table1[[#This Row],[Quantity]]&gt;=5),"Excellent","Needs improvement")</f>
        <v>Needs improvement</v>
      </c>
    </row>
    <row r="7" spans="1:10" x14ac:dyDescent="0.35">
      <c r="A7" t="s">
        <v>11</v>
      </c>
      <c r="B7" t="s">
        <v>23</v>
      </c>
      <c r="C7" t="s">
        <v>25</v>
      </c>
      <c r="D7" t="s">
        <v>29</v>
      </c>
      <c r="E7">
        <v>6</v>
      </c>
      <c r="F7">
        <v>90000</v>
      </c>
      <c r="G7" t="str">
        <f>IF(Table1[[#This Row],[Sales_Amount]]&gt;=100000,"High sale","Low sale")</f>
        <v>Low sale</v>
      </c>
      <c r="H7" t="str">
        <f>IF(Table1[[#This Row],[Quantity]]&gt;=10,"Bulk Order","regular order")</f>
        <v>regular order</v>
      </c>
      <c r="I7" t="str">
        <f>IF(AND(Table1[[#This Row],[Quantity]]&gt;=5,Table1[[#This Row],[Sales_Amount]]&gt;=100000),"TARGET ACHIVED","TARGET NOT ACHIVED")</f>
        <v>TARGET NOT ACHIVED</v>
      </c>
      <c r="J7" t="str">
        <f>IF(AND(Table1[[#This Row],[Sales_Amount]]&gt;=200000,Table1[[#This Row],[Quantity]]&gt;=5),"Excellent","Needs improvement")</f>
        <v>Needs improvement</v>
      </c>
    </row>
    <row r="8" spans="1:10" x14ac:dyDescent="0.35">
      <c r="A8" t="s">
        <v>12</v>
      </c>
      <c r="B8" t="s">
        <v>18</v>
      </c>
      <c r="C8" t="s">
        <v>26</v>
      </c>
      <c r="D8" t="s">
        <v>28</v>
      </c>
      <c r="E8">
        <v>7</v>
      </c>
      <c r="F8">
        <v>350000</v>
      </c>
      <c r="G8" t="str">
        <f>IF(Table1[[#This Row],[Sales_Amount]]&gt;=100000,"High sale","Low sale")</f>
        <v>High sale</v>
      </c>
      <c r="H8" t="str">
        <f>IF(Table1[[#This Row],[Quantity]]&gt;=10,"Bulk Order","regular order")</f>
        <v>regular order</v>
      </c>
      <c r="I8" t="str">
        <f>IF(AND(Table1[[#This Row],[Quantity]]&gt;=5,Table1[[#This Row],[Sales_Amount]]&gt;=100000),"TARGET ACHIVED","TARGET NOT ACHIVED")</f>
        <v>TARGET ACHIVED</v>
      </c>
      <c r="J8" t="str">
        <f>IF(AND(Table1[[#This Row],[Sales_Amount]]&gt;=200000,Table1[[#This Row],[Quantity]]&gt;=5),"Excellent","Needs improvement")</f>
        <v>Excellent</v>
      </c>
    </row>
    <row r="9" spans="1:10" x14ac:dyDescent="0.35">
      <c r="A9" t="s">
        <v>13</v>
      </c>
      <c r="B9" t="s">
        <v>19</v>
      </c>
      <c r="C9" t="s">
        <v>27</v>
      </c>
      <c r="D9" t="s">
        <v>30</v>
      </c>
      <c r="E9">
        <v>10</v>
      </c>
      <c r="F9">
        <v>25000</v>
      </c>
      <c r="G9" t="str">
        <f>IF(Table1[[#This Row],[Sales_Amount]]&gt;=100000,"High sale","Low sale")</f>
        <v>Low sale</v>
      </c>
      <c r="H9" t="str">
        <f>IF(Table1[[#This Row],[Quantity]]&gt;=10,"Bulk Order","regular order")</f>
        <v>Bulk Order</v>
      </c>
      <c r="I9" t="str">
        <f>IF(AND(Table1[[#This Row],[Quantity]]&gt;=5,Table1[[#This Row],[Sales_Amount]]&gt;=100000),"TARGET ACHIVED","TARGET NOT ACHIVED")</f>
        <v>TARGET NOT ACHIVED</v>
      </c>
      <c r="J9" t="str">
        <f>IF(AND(Table1[[#This Row],[Sales_Amount]]&gt;=200000,Table1[[#This Row],[Quantity]]&gt;=5),"Excellent","Needs improvement")</f>
        <v>Needs improvement</v>
      </c>
    </row>
    <row r="10" spans="1:10" x14ac:dyDescent="0.35">
      <c r="A10" t="s">
        <v>14</v>
      </c>
      <c r="B10" t="s">
        <v>20</v>
      </c>
      <c r="C10" t="s">
        <v>24</v>
      </c>
      <c r="D10" t="s">
        <v>29</v>
      </c>
      <c r="E10">
        <v>4</v>
      </c>
      <c r="F10">
        <v>60000</v>
      </c>
      <c r="G10" t="str">
        <f>IF(Table1[[#This Row],[Sales_Amount]]&gt;=100000,"High sale","Low sale")</f>
        <v>Low sale</v>
      </c>
      <c r="H10" t="str">
        <f>IF(Table1[[#This Row],[Quantity]]&gt;=10,"Bulk Order","regular order")</f>
        <v>regular order</v>
      </c>
      <c r="I10" t="str">
        <f>IF(AND(Table1[[#This Row],[Quantity]]&gt;=5,Table1[[#This Row],[Sales_Amount]]&gt;=100000),"TARGET ACHIVED","TARGET NOT ACHIVED")</f>
        <v>TARGET NOT ACHIVED</v>
      </c>
      <c r="J10" t="str">
        <f>IF(AND(Table1[[#This Row],[Sales_Amount]]&gt;=200000,Table1[[#This Row],[Quantity]]&gt;=5),"Excellent","Needs improvement")</f>
        <v>Needs improvement</v>
      </c>
    </row>
    <row r="11" spans="1:10" x14ac:dyDescent="0.35">
      <c r="A11" t="s">
        <v>15</v>
      </c>
      <c r="B11" t="s">
        <v>21</v>
      </c>
      <c r="C11" t="s">
        <v>25</v>
      </c>
      <c r="D11" t="s">
        <v>31</v>
      </c>
      <c r="E11">
        <v>20</v>
      </c>
      <c r="F11">
        <v>30000</v>
      </c>
      <c r="G11" t="str">
        <f>IF(Table1[[#This Row],[Sales_Amount]]&gt;=100000,"High sale","Low sale")</f>
        <v>Low sale</v>
      </c>
      <c r="H11" t="str">
        <f>IF(Table1[[#This Row],[Quantity]]&gt;=10,"Bulk Order","regular order")</f>
        <v>Bulk Order</v>
      </c>
      <c r="I11" t="str">
        <f>IF(AND(Table1[[#This Row],[Quantity]]&gt;=5,Table1[[#This Row],[Sales_Amount]]&gt;=100000),"TARGET ACHIVED","TARGET NOT ACHIVED")</f>
        <v>TARGET NOT ACHIVED</v>
      </c>
      <c r="J11" t="str">
        <f>IF(AND(Table1[[#This Row],[Sales_Amount]]&gt;=200000,Table1[[#This Row],[Quantity]]&gt;=5),"Excellent","Needs improvement")</f>
        <v>Needs improvement</v>
      </c>
    </row>
    <row r="12" spans="1:10" x14ac:dyDescent="0.35">
      <c r="A12" t="s">
        <v>16</v>
      </c>
      <c r="B12" t="s">
        <v>22</v>
      </c>
      <c r="C12" t="s">
        <v>26</v>
      </c>
      <c r="D12" t="s">
        <v>28</v>
      </c>
      <c r="E12">
        <v>2</v>
      </c>
      <c r="F12">
        <v>110000</v>
      </c>
      <c r="G12" t="str">
        <f>IF(Table1[[#This Row],[Sales_Amount]]&gt;=100000,"High sale","Low sale")</f>
        <v>High sale</v>
      </c>
      <c r="H12" t="str">
        <f>IF(Table1[[#This Row],[Quantity]]&gt;=10,"Bulk Order","regular order")</f>
        <v>regular order</v>
      </c>
      <c r="I12" t="str">
        <f>IF(AND(Table1[[#This Row],[Quantity]]&gt;=5,Table1[[#This Row],[Sales_Amount]]&gt;=100000),"TARGET ACHIVED","TARGET NOT ACHIVED")</f>
        <v>TARGET NOT ACHIVED</v>
      </c>
      <c r="J12" t="str">
        <f>IF(AND(Table1[[#This Row],[Sales_Amount]]&gt;=200000,Table1[[#This Row],[Quantity]]&gt;=5),"Excellent","Needs improvement")</f>
        <v>Needs improvement</v>
      </c>
    </row>
    <row r="13" spans="1:10" x14ac:dyDescent="0.35">
      <c r="A13" t="s">
        <v>17</v>
      </c>
      <c r="B13" t="s">
        <v>23</v>
      </c>
      <c r="C13" t="s">
        <v>27</v>
      </c>
      <c r="D13" t="s">
        <v>30</v>
      </c>
      <c r="E13">
        <v>14</v>
      </c>
      <c r="F13">
        <v>28000</v>
      </c>
      <c r="G13" t="str">
        <f>IF(Table1[[#This Row],[Sales_Amount]]&gt;=100000,"High sale","Low sale")</f>
        <v>Low sale</v>
      </c>
      <c r="H13" t="str">
        <f>IF(Table1[[#This Row],[Quantity]]&gt;=10,"Bulk Order","regular order")</f>
        <v>Bulk Order</v>
      </c>
      <c r="I13" t="str">
        <f>IF(AND(Table1[[#This Row],[Quantity]]&gt;=5,Table1[[#This Row],[Sales_Amount]]&gt;=100000),"TARGET ACHIVED","TARGET NOT ACHIVED")</f>
        <v>TARGET NOT ACHIVED</v>
      </c>
      <c r="J13" t="str">
        <f>IF(AND(Table1[[#This Row],[Sales_Amount]]&gt;=200000,Table1[[#This Row],[Quantity]]&gt;=5),"Excellent","Needs improvement")</f>
        <v>Needs improvement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Muhammed safwam</cp:lastModifiedBy>
  <dcterms:created xsi:type="dcterms:W3CDTF">2026-09-07T07:43:10Z</dcterms:created>
  <dcterms:modified xsi:type="dcterms:W3CDTF">2026-09-07T18:59:44Z</dcterms:modified>
</cp:coreProperties>
</file>