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14_{DA983423-3506-44AD-A55E-98D47C63CDE5}" xr6:coauthVersionLast="47" xr6:coauthVersionMax="47" xr10:uidLastSave="{00000000-0000-0000-0000-000000000000}"/>
  <bookViews>
    <workbookView xWindow="-110" yWindow="-110" windowWidth="19420" windowHeight="10300" xr2:uid="{082F78D2-2593-45C1-BC53-8B96B81FCE19}"/>
  </bookViews>
  <sheets>
    <sheet name="DATATABLES" sheetId="1" r:id="rId1"/>
    <sheet name="GOAL SEEK TAS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F3" i="1" s="1"/>
  <c r="C14" i="1"/>
  <c r="C12" i="1"/>
  <c r="E4" i="2"/>
  <c r="E3" i="2"/>
  <c r="E2" i="2"/>
  <c r="B5" i="2"/>
  <c r="B6" i="2" s="1"/>
  <c r="G14" i="2"/>
  <c r="F10" i="2"/>
  <c r="F19" i="1" l="1"/>
  <c r="J3" i="1"/>
  <c r="C13" i="1"/>
  <c r="C15" i="1" s="1"/>
  <c r="F32" i="1" l="1"/>
  <c r="F41" i="1"/>
  <c r="F24" i="1"/>
  <c r="F28" i="1"/>
</calcChain>
</file>

<file path=xl/sharedStrings.xml><?xml version="1.0" encoding="utf-8"?>
<sst xmlns="http://schemas.openxmlformats.org/spreadsheetml/2006/main" count="46" uniqueCount="39">
  <si>
    <t>Units sold</t>
  </si>
  <si>
    <t>(Selling) Price per unit</t>
  </si>
  <si>
    <t>Inputs</t>
  </si>
  <si>
    <t>Profit &amp; Loss Calculations (formulas)</t>
  </si>
  <si>
    <t>Revenue</t>
  </si>
  <si>
    <t>Cost of sales</t>
  </si>
  <si>
    <t>Production cost per unit</t>
  </si>
  <si>
    <t>Payroll</t>
  </si>
  <si>
    <t>Building lease</t>
  </si>
  <si>
    <t>Gross profit</t>
  </si>
  <si>
    <t>Fixed costs</t>
  </si>
  <si>
    <t>Net profit</t>
  </si>
  <si>
    <t>Energy costs</t>
  </si>
  <si>
    <t>Selling price</t>
  </si>
  <si>
    <t>One variable table</t>
  </si>
  <si>
    <t>Units Sold</t>
  </si>
  <si>
    <t>PRODUCT</t>
  </si>
  <si>
    <t>UNIT COST</t>
  </si>
  <si>
    <t>SELLING PRICE</t>
  </si>
  <si>
    <t>UNIT SOLD</t>
  </si>
  <si>
    <t>LAPTOP</t>
  </si>
  <si>
    <t>TOTAL REVENUE</t>
  </si>
  <si>
    <t>TOTAL PROFIT</t>
  </si>
  <si>
    <t>CURRENT SALARY</t>
  </si>
  <si>
    <t>Q.TO EARN 1,00,000 HOW MUCH EACH EARN A MONTH</t>
  </si>
  <si>
    <t>TOTAL MARKS</t>
  </si>
  <si>
    <t>PERCENTAGE</t>
  </si>
  <si>
    <t>Q.REACH TARGET 75% HOW MUCH TO SCORE</t>
  </si>
  <si>
    <t>MONTHLY SAVINGS</t>
  </si>
  <si>
    <t>INITIAL SAVINGS</t>
  </si>
  <si>
    <t>FINAL AMOUNT</t>
  </si>
  <si>
    <t>REQUIRED INCREASE</t>
  </si>
  <si>
    <t>SCORE</t>
  </si>
  <si>
    <t>Column1</t>
  </si>
  <si>
    <t>Column2</t>
  </si>
  <si>
    <t>Q.TO REACH TARGET 20000 HOW MUCH SHOULD WE CHANGE MONTHLY SAVINGS</t>
  </si>
  <si>
    <t xml:space="preserve">GOAL </t>
  </si>
  <si>
    <t>NET PROFIT</t>
  </si>
  <si>
    <t>PRO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</si>
</sst>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£&quot;#,##0.00"/>
    <numFmt numFmtId="165" formatCode="&quot;£&quot;#,##0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4" fontId="2" fillId="2" borderId="0" xfId="0" applyNumberFormat="1" applyFont="1" applyFill="1"/>
    <xf numFmtId="3" fontId="2" fillId="2" borderId="0" xfId="0" applyNumberFormat="1" applyFont="1" applyFill="1"/>
    <xf numFmtId="165" fontId="0" fillId="2" borderId="0" xfId="0" applyNumberFormat="1" applyFill="1"/>
    <xf numFmtId="0" fontId="0" fillId="3" borderId="0" xfId="0" applyFill="1"/>
    <xf numFmtId="0" fontId="3" fillId="4" borderId="0" xfId="0" applyFont="1" applyFill="1"/>
    <xf numFmtId="0" fontId="0" fillId="0" borderId="0" xfId="0" applyNumberFormat="1"/>
    <xf numFmtId="0" fontId="4" fillId="5" borderId="0" xfId="0" applyFont="1" applyFill="1"/>
    <xf numFmtId="0" fontId="2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72ACD-EF10-4B9B-A627-7B66BF07182D}" name="Table1" displayName="Table1" ref="A1:B6" totalsRowShown="0">
  <autoFilter ref="A1:B6" xr:uid="{47972ACD-EF10-4B9B-A627-7B66BF07182D}"/>
  <tableColumns count="2">
    <tableColumn id="1" xr3:uid="{24796C9E-EB5C-4DAF-AF28-DE9E8611CD35}" name="PRODUCT"/>
    <tableColumn id="2" xr3:uid="{90F03281-03E0-4AF4-85F4-9C6F15914FDC}" name="LAPTOP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87F88-B798-4A82-A925-C7DD9F40FF60}" name="Table2" displayName="Table2" ref="E1:F4" totalsRowShown="0">
  <autoFilter ref="E1:F4" xr:uid="{04887F88-B798-4A82-A925-C7DD9F40FF60}"/>
  <tableColumns count="2">
    <tableColumn id="1" xr3:uid="{4B72E328-673E-45AB-9036-92B31D804501}" name="CURRENT SALARY"/>
    <tableColumn id="2" xr3:uid="{15BED9B1-1CDD-460C-BA3A-AE1B533024B9}" name="REQUIRED INCREAS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F5F5B9-3B28-4661-9A61-08BA2B66CAFF}" name="Table3" displayName="Table3" ref="E7:F10" totalsRowShown="0">
  <autoFilter ref="E7:F10" xr:uid="{7CF5F5B9-3B28-4661-9A61-08BA2B66CAFF}"/>
  <tableColumns count="2">
    <tableColumn id="1" xr3:uid="{2F2C8B02-7C62-4BBE-90A1-06A4814AA25E}" name="Column2"/>
    <tableColumn id="2" xr3:uid="{5E19318C-2DE4-4F2D-82C0-ED63E24BCFB9}" name="Column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1C582B-6752-4BF0-BCC4-31D8E6257264}" name="Table4" displayName="Table4" ref="E13:H14" totalsRowShown="0">
  <autoFilter ref="E13:H14" xr:uid="{F51C582B-6752-4BF0-BCC4-31D8E6257264}"/>
  <tableColumns count="4">
    <tableColumn id="1" xr3:uid="{A31CBB98-5ACB-4131-84F8-01E811F678D9}" name="INITIAL SAVINGS"/>
    <tableColumn id="2" xr3:uid="{389077A5-0580-4E2E-A1CD-D0C2BBEB2D41}" name="MONTHLY SAVINGS"/>
    <tableColumn id="3" xr3:uid="{21C009A6-19DC-4624-BA81-441E004F9B31}" name="FINAL AMOUNT">
      <calculatedColumnFormula>E14+(F14*12)</calculatedColumnFormula>
    </tableColumn>
    <tableColumn id="4" xr3:uid="{E60603EA-D6FC-4F32-BB60-D8524E745BB9}" name="Q.TO REACH TARGET 20000 HOW MUCH SHOULD WE CHANGE MONTHLY SAVIN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6653-A0A6-492C-9D79-9355C26468B5}">
  <dimension ref="B2:O46"/>
  <sheetViews>
    <sheetView tabSelected="1" zoomScale="70" zoomScaleNormal="70" workbookViewId="0">
      <pane xSplit="4" ySplit="1" topLeftCell="E14" activePane="bottomRight" state="frozen"/>
      <selection pane="topRight" activeCell="E1" sqref="E1"/>
      <selection pane="bottomLeft" activeCell="A2" sqref="A2"/>
      <selection pane="bottomRight" activeCell="E18" sqref="E18"/>
    </sheetView>
  </sheetViews>
  <sheetFormatPr defaultRowHeight="14.5" x14ac:dyDescent="0.35"/>
  <cols>
    <col min="2" max="2" width="21.81640625" customWidth="1"/>
    <col min="3" max="3" width="12.6328125" bestFit="1" customWidth="1"/>
    <col min="5" max="5" width="10.81640625" bestFit="1" customWidth="1"/>
    <col min="6" max="6" width="11.36328125" bestFit="1" customWidth="1"/>
    <col min="7" max="7" width="13.6328125" customWidth="1"/>
    <col min="8" max="8" width="11.36328125" customWidth="1"/>
    <col min="9" max="10" width="10.6328125" bestFit="1" customWidth="1"/>
    <col min="11" max="18" width="11.1796875" bestFit="1" customWidth="1"/>
  </cols>
  <sheetData>
    <row r="2" spans="2:15" x14ac:dyDescent="0.35">
      <c r="B2" s="1" t="s">
        <v>2</v>
      </c>
      <c r="C2" s="1"/>
      <c r="E2" s="1" t="s">
        <v>14</v>
      </c>
      <c r="F2" s="1"/>
      <c r="G2" s="1"/>
      <c r="K2" t="s">
        <v>15</v>
      </c>
    </row>
    <row r="3" spans="2:15" x14ac:dyDescent="0.35">
      <c r="B3" t="s">
        <v>0</v>
      </c>
      <c r="C3" s="4">
        <v>10000</v>
      </c>
      <c r="E3" t="s">
        <v>13</v>
      </c>
      <c r="F3" s="3">
        <f>C11</f>
        <v>999900</v>
      </c>
      <c r="J3" s="7">
        <f>C11</f>
        <v>999900</v>
      </c>
      <c r="K3" s="6">
        <v>8000</v>
      </c>
      <c r="L3" s="6">
        <v>8500</v>
      </c>
      <c r="M3" s="6">
        <v>9000</v>
      </c>
      <c r="N3" s="6">
        <v>9500</v>
      </c>
      <c r="O3" s="6">
        <v>10000</v>
      </c>
    </row>
    <row r="4" spans="2:15" x14ac:dyDescent="0.35">
      <c r="B4" t="s">
        <v>1</v>
      </c>
      <c r="C4" s="2">
        <v>99.99</v>
      </c>
      <c r="E4" s="2">
        <v>79.989999999999995</v>
      </c>
      <c r="F4" s="3">
        <f t="dataTable" ref="F4:F14" dt2D="0" dtr="0" r1="C4"/>
        <v>799900</v>
      </c>
      <c r="I4" t="s">
        <v>13</v>
      </c>
      <c r="J4" s="5">
        <v>79.989999999999995</v>
      </c>
      <c r="K4" s="3">
        <f t="dataTable" ref="K4:O14" dt2D="1" dtr="1" r1="C3" r2="C4" ca="1"/>
        <v>639920</v>
      </c>
      <c r="L4" s="3">
        <v>679915</v>
      </c>
      <c r="M4" s="3">
        <v>719910</v>
      </c>
      <c r="N4" s="3">
        <v>759905</v>
      </c>
      <c r="O4" s="3">
        <v>799900</v>
      </c>
    </row>
    <row r="5" spans="2:15" x14ac:dyDescent="0.35">
      <c r="B5" t="s">
        <v>6</v>
      </c>
      <c r="C5" s="2">
        <v>42.15</v>
      </c>
      <c r="E5" s="2">
        <v>84.99</v>
      </c>
      <c r="F5" s="3">
        <v>849900</v>
      </c>
      <c r="J5" s="5">
        <v>84.99</v>
      </c>
      <c r="K5" s="3">
        <v>679920</v>
      </c>
      <c r="L5" s="3">
        <v>722415</v>
      </c>
      <c r="M5" s="3">
        <v>764910</v>
      </c>
      <c r="N5" s="3">
        <v>807405</v>
      </c>
      <c r="O5" s="3">
        <v>849900</v>
      </c>
    </row>
    <row r="6" spans="2:15" x14ac:dyDescent="0.35">
      <c r="B6" t="s">
        <v>7</v>
      </c>
      <c r="C6" s="3">
        <v>256000</v>
      </c>
      <c r="E6" s="2">
        <v>89.99</v>
      </c>
      <c r="F6" s="3">
        <v>899900</v>
      </c>
      <c r="J6" s="5">
        <v>89.99</v>
      </c>
      <c r="K6" s="3">
        <v>719920</v>
      </c>
      <c r="L6" s="3">
        <v>764915</v>
      </c>
      <c r="M6" s="3">
        <v>809910</v>
      </c>
      <c r="N6" s="3">
        <v>854905</v>
      </c>
      <c r="O6" s="3">
        <v>899900</v>
      </c>
    </row>
    <row r="7" spans="2:15" x14ac:dyDescent="0.35">
      <c r="B7" t="s">
        <v>8</v>
      </c>
      <c r="C7" s="3">
        <v>90000</v>
      </c>
      <c r="E7" s="2">
        <v>94.99</v>
      </c>
      <c r="F7" s="3">
        <v>949900</v>
      </c>
      <c r="J7" s="5">
        <v>94.99</v>
      </c>
      <c r="K7" s="3">
        <v>759920</v>
      </c>
      <c r="L7" s="3">
        <v>807415</v>
      </c>
      <c r="M7" s="3">
        <v>854910</v>
      </c>
      <c r="N7" s="3">
        <v>902405</v>
      </c>
      <c r="O7" s="3">
        <v>949900</v>
      </c>
    </row>
    <row r="8" spans="2:15" x14ac:dyDescent="0.35">
      <c r="B8" t="s">
        <v>12</v>
      </c>
      <c r="C8" s="3">
        <v>51000</v>
      </c>
      <c r="E8" s="2">
        <v>99.99</v>
      </c>
      <c r="F8" s="3">
        <v>999900</v>
      </c>
      <c r="J8" s="5">
        <v>99.99</v>
      </c>
      <c r="K8" s="3">
        <v>799920</v>
      </c>
      <c r="L8" s="3">
        <v>849915</v>
      </c>
      <c r="M8" s="3">
        <v>899910</v>
      </c>
      <c r="N8" s="3">
        <v>949905</v>
      </c>
      <c r="O8" s="3">
        <v>999900</v>
      </c>
    </row>
    <row r="9" spans="2:15" x14ac:dyDescent="0.35">
      <c r="E9" s="2">
        <v>104.99</v>
      </c>
      <c r="F9" s="3">
        <v>1049900</v>
      </c>
      <c r="J9" s="5">
        <v>104.99</v>
      </c>
      <c r="K9" s="3">
        <v>839920</v>
      </c>
      <c r="L9" s="3">
        <v>892415</v>
      </c>
      <c r="M9" s="3">
        <v>944910</v>
      </c>
      <c r="N9" s="3">
        <v>997405</v>
      </c>
      <c r="O9" s="3">
        <v>1049900</v>
      </c>
    </row>
    <row r="10" spans="2:15" x14ac:dyDescent="0.35">
      <c r="B10" s="12" t="s">
        <v>3</v>
      </c>
      <c r="C10" s="12"/>
      <c r="E10" s="2">
        <v>109.99</v>
      </c>
      <c r="F10" s="3">
        <v>1099900</v>
      </c>
      <c r="J10" s="5">
        <v>109.99</v>
      </c>
      <c r="K10" s="3">
        <v>879920</v>
      </c>
      <c r="L10" s="3">
        <v>934915</v>
      </c>
      <c r="M10" s="3">
        <v>989910</v>
      </c>
      <c r="N10" s="3">
        <v>1044905</v>
      </c>
      <c r="O10" s="3">
        <v>1099900</v>
      </c>
    </row>
    <row r="11" spans="2:15" x14ac:dyDescent="0.35">
      <c r="B11" t="s">
        <v>4</v>
      </c>
      <c r="C11" s="3">
        <f>C3*C4</f>
        <v>999900</v>
      </c>
      <c r="E11" s="2">
        <v>114.99</v>
      </c>
      <c r="F11" s="3">
        <v>1149900</v>
      </c>
      <c r="J11" s="5">
        <v>114.99</v>
      </c>
      <c r="K11" s="3">
        <v>919920</v>
      </c>
      <c r="L11" s="3">
        <v>977415</v>
      </c>
      <c r="M11" s="3">
        <v>1034910</v>
      </c>
      <c r="N11" s="3">
        <v>1092405</v>
      </c>
      <c r="O11" s="3">
        <v>1149900</v>
      </c>
    </row>
    <row r="12" spans="2:15" x14ac:dyDescent="0.35">
      <c r="B12" t="s">
        <v>5</v>
      </c>
      <c r="C12" s="3">
        <f>C3*C5</f>
        <v>421500</v>
      </c>
      <c r="E12" s="2">
        <v>119.99</v>
      </c>
      <c r="F12" s="3">
        <v>1199900</v>
      </c>
      <c r="J12" s="5">
        <v>119.99</v>
      </c>
      <c r="K12" s="3">
        <v>959920</v>
      </c>
      <c r="L12" s="3">
        <v>1019915</v>
      </c>
      <c r="M12" s="3">
        <v>1079910</v>
      </c>
      <c r="N12" s="3">
        <v>1139905</v>
      </c>
      <c r="O12" s="3">
        <v>1199900</v>
      </c>
    </row>
    <row r="13" spans="2:15" x14ac:dyDescent="0.35">
      <c r="B13" t="s">
        <v>9</v>
      </c>
      <c r="C13" s="3">
        <f>C11-C12</f>
        <v>578400</v>
      </c>
      <c r="E13" s="2">
        <v>124.99</v>
      </c>
      <c r="F13" s="3">
        <v>1249900</v>
      </c>
      <c r="J13" s="5">
        <v>124.99</v>
      </c>
      <c r="K13" s="3">
        <v>999920</v>
      </c>
      <c r="L13" s="3">
        <v>1062415</v>
      </c>
      <c r="M13" s="3">
        <v>1124910</v>
      </c>
      <c r="N13" s="3">
        <v>1187405</v>
      </c>
      <c r="O13" s="3">
        <v>1249900</v>
      </c>
    </row>
    <row r="14" spans="2:15" x14ac:dyDescent="0.35">
      <c r="B14" t="s">
        <v>10</v>
      </c>
      <c r="C14" s="3">
        <f>C6+C7+C8</f>
        <v>397000</v>
      </c>
      <c r="E14" s="2">
        <v>129.99</v>
      </c>
      <c r="F14" s="3">
        <v>1299900</v>
      </c>
      <c r="J14" s="5">
        <v>129.99</v>
      </c>
      <c r="K14" s="3">
        <v>1039920.0000000001</v>
      </c>
      <c r="L14" s="3">
        <v>1104915</v>
      </c>
      <c r="M14" s="3">
        <v>1169910</v>
      </c>
      <c r="N14" s="3">
        <v>1234905</v>
      </c>
      <c r="O14" s="3">
        <v>1299900</v>
      </c>
    </row>
    <row r="15" spans="2:15" x14ac:dyDescent="0.35">
      <c r="B15" t="s">
        <v>11</v>
      </c>
      <c r="C15" s="3">
        <f>C13-C14</f>
        <v>181400</v>
      </c>
    </row>
    <row r="18" spans="5:14" x14ac:dyDescent="0.35">
      <c r="F18" t="s">
        <v>19</v>
      </c>
      <c r="G18">
        <v>7500</v>
      </c>
      <c r="H18">
        <v>8000</v>
      </c>
      <c r="I18">
        <v>8500</v>
      </c>
      <c r="J18">
        <v>9000</v>
      </c>
      <c r="K18">
        <v>9500</v>
      </c>
      <c r="L18">
        <v>10000</v>
      </c>
      <c r="M18">
        <v>10500</v>
      </c>
      <c r="N18">
        <v>11000</v>
      </c>
    </row>
    <row r="19" spans="5:14" x14ac:dyDescent="0.35">
      <c r="E19" s="3"/>
      <c r="F19" s="3">
        <f>C11</f>
        <v>999900</v>
      </c>
      <c r="G19">
        <f t="dataTable" ref="G19:N19" dt2D="0" dtr="1" r1="C3" ca="1"/>
        <v>749925</v>
      </c>
      <c r="H19">
        <v>799920</v>
      </c>
      <c r="I19">
        <v>849915</v>
      </c>
      <c r="J19">
        <v>899910</v>
      </c>
      <c r="K19">
        <v>949905</v>
      </c>
      <c r="L19">
        <v>999900</v>
      </c>
      <c r="M19">
        <v>1049895</v>
      </c>
      <c r="N19">
        <v>1099890</v>
      </c>
    </row>
    <row r="23" spans="5:14" x14ac:dyDescent="0.35">
      <c r="F23" s="3" t="s">
        <v>37</v>
      </c>
      <c r="G23">
        <v>79.989999999999995</v>
      </c>
      <c r="H23">
        <v>84.99</v>
      </c>
      <c r="I23">
        <v>89.99</v>
      </c>
      <c r="J23">
        <v>94.99</v>
      </c>
      <c r="K23">
        <v>99.99</v>
      </c>
      <c r="L23">
        <v>104.99</v>
      </c>
      <c r="M23">
        <v>109.99</v>
      </c>
      <c r="N23">
        <v>114.99</v>
      </c>
    </row>
    <row r="24" spans="5:14" x14ac:dyDescent="0.35">
      <c r="F24" s="3">
        <f>C15</f>
        <v>181400</v>
      </c>
      <c r="G24">
        <f t="dataTable" ref="G24:N24" dt2D="0" dtr="1" r1="C4" ca="1"/>
        <v>-18600</v>
      </c>
      <c r="H24">
        <v>31400</v>
      </c>
      <c r="I24">
        <v>81400</v>
      </c>
      <c r="J24">
        <v>131400</v>
      </c>
      <c r="K24">
        <v>181400</v>
      </c>
      <c r="L24">
        <v>231400</v>
      </c>
      <c r="M24">
        <v>281400</v>
      </c>
      <c r="N24">
        <v>331400</v>
      </c>
    </row>
    <row r="27" spans="5:14" x14ac:dyDescent="0.35">
      <c r="F27" t="s">
        <v>37</v>
      </c>
      <c r="G27">
        <v>35</v>
      </c>
      <c r="H27">
        <v>40</v>
      </c>
      <c r="I27">
        <v>45</v>
      </c>
      <c r="J27">
        <v>50</v>
      </c>
      <c r="K27">
        <v>55</v>
      </c>
      <c r="L27">
        <v>60</v>
      </c>
    </row>
    <row r="28" spans="5:14" x14ac:dyDescent="0.35">
      <c r="F28" s="3">
        <f>C15</f>
        <v>181400</v>
      </c>
      <c r="G28">
        <f t="dataTable" ref="G28:L28" dt2D="0" dtr="1" r1="C5" ca="1"/>
        <v>252900</v>
      </c>
      <c r="H28">
        <v>202900</v>
      </c>
      <c r="I28">
        <v>152900</v>
      </c>
      <c r="J28">
        <v>102900</v>
      </c>
      <c r="K28">
        <v>52900</v>
      </c>
      <c r="L28">
        <v>2900</v>
      </c>
    </row>
    <row r="31" spans="5:14" x14ac:dyDescent="0.35">
      <c r="G31" t="s">
        <v>19</v>
      </c>
    </row>
    <row r="32" spans="5:14" x14ac:dyDescent="0.35">
      <c r="F32" s="3">
        <f>C15</f>
        <v>181400</v>
      </c>
      <c r="G32">
        <v>8000</v>
      </c>
      <c r="H32">
        <v>8500</v>
      </c>
      <c r="I32">
        <v>9000</v>
      </c>
      <c r="J32">
        <v>9500</v>
      </c>
      <c r="K32">
        <v>10000</v>
      </c>
    </row>
    <row r="33" spans="5:11" x14ac:dyDescent="0.35">
      <c r="F33">
        <v>35</v>
      </c>
      <c r="G33">
        <f t="dataTable" ref="G33:K37" dt2D="1" dtr="1" r1="C3" r2="C5" ca="1"/>
        <v>122920</v>
      </c>
      <c r="H33">
        <v>155415</v>
      </c>
      <c r="I33">
        <v>187910</v>
      </c>
      <c r="J33">
        <v>220405</v>
      </c>
      <c r="K33">
        <v>252900</v>
      </c>
    </row>
    <row r="34" spans="5:11" x14ac:dyDescent="0.35">
      <c r="E34" t="s">
        <v>38</v>
      </c>
      <c r="F34">
        <v>40</v>
      </c>
      <c r="G34">
        <v>82920</v>
      </c>
      <c r="H34">
        <v>112915</v>
      </c>
      <c r="I34">
        <v>142910</v>
      </c>
      <c r="J34">
        <v>172905</v>
      </c>
      <c r="K34">
        <v>202900</v>
      </c>
    </row>
    <row r="35" spans="5:11" x14ac:dyDescent="0.35">
      <c r="F35">
        <v>45</v>
      </c>
      <c r="G35">
        <v>42920</v>
      </c>
      <c r="H35">
        <v>70415</v>
      </c>
      <c r="I35">
        <v>97910</v>
      </c>
      <c r="J35">
        <v>125405</v>
      </c>
      <c r="K35">
        <v>152900</v>
      </c>
    </row>
    <row r="36" spans="5:11" x14ac:dyDescent="0.35">
      <c r="F36">
        <v>50</v>
      </c>
      <c r="G36">
        <v>2920</v>
      </c>
      <c r="H36">
        <v>27915</v>
      </c>
      <c r="I36">
        <v>52910</v>
      </c>
      <c r="J36">
        <v>77905</v>
      </c>
      <c r="K36">
        <v>102900</v>
      </c>
    </row>
    <row r="37" spans="5:11" x14ac:dyDescent="0.35">
      <c r="F37">
        <v>55</v>
      </c>
      <c r="G37">
        <v>-37080</v>
      </c>
      <c r="H37">
        <v>-14585</v>
      </c>
      <c r="I37">
        <v>7910</v>
      </c>
      <c r="J37">
        <v>30405</v>
      </c>
      <c r="K37">
        <v>52900</v>
      </c>
    </row>
    <row r="40" spans="5:11" x14ac:dyDescent="0.35">
      <c r="G40" t="s">
        <v>18</v>
      </c>
    </row>
    <row r="41" spans="5:11" x14ac:dyDescent="0.35">
      <c r="F41" s="3">
        <f>C15</f>
        <v>181400</v>
      </c>
      <c r="G41">
        <v>80</v>
      </c>
      <c r="H41">
        <v>90</v>
      </c>
      <c r="I41">
        <v>100</v>
      </c>
      <c r="J41">
        <v>110</v>
      </c>
      <c r="K41">
        <v>120</v>
      </c>
    </row>
    <row r="42" spans="5:11" x14ac:dyDescent="0.35">
      <c r="F42">
        <v>35</v>
      </c>
      <c r="G42">
        <f t="dataTable" ref="G42:K46" dt2D="1" dtr="1" r1="C4" r2="C5" ca="1"/>
        <v>53000</v>
      </c>
      <c r="H42">
        <v>153000</v>
      </c>
      <c r="I42">
        <v>253000</v>
      </c>
      <c r="J42">
        <v>353000</v>
      </c>
      <c r="K42">
        <v>453000</v>
      </c>
    </row>
    <row r="43" spans="5:11" x14ac:dyDescent="0.35">
      <c r="E43" t="s">
        <v>38</v>
      </c>
      <c r="F43">
        <v>40</v>
      </c>
      <c r="G43">
        <v>3000</v>
      </c>
      <c r="H43">
        <v>103000</v>
      </c>
      <c r="I43">
        <v>203000</v>
      </c>
      <c r="J43">
        <v>303000</v>
      </c>
      <c r="K43">
        <v>403000</v>
      </c>
    </row>
    <row r="44" spans="5:11" x14ac:dyDescent="0.35">
      <c r="F44">
        <v>45</v>
      </c>
      <c r="G44">
        <v>-47000</v>
      </c>
      <c r="H44">
        <v>53000</v>
      </c>
      <c r="I44">
        <v>153000</v>
      </c>
      <c r="J44">
        <v>253000</v>
      </c>
      <c r="K44">
        <v>353000</v>
      </c>
    </row>
    <row r="45" spans="5:11" x14ac:dyDescent="0.35">
      <c r="F45">
        <v>50</v>
      </c>
      <c r="G45">
        <v>-97000</v>
      </c>
      <c r="H45">
        <v>3000</v>
      </c>
      <c r="I45">
        <v>103000</v>
      </c>
      <c r="J45">
        <v>203000</v>
      </c>
      <c r="K45">
        <v>303000</v>
      </c>
    </row>
    <row r="46" spans="5:11" x14ac:dyDescent="0.35">
      <c r="F46">
        <v>55</v>
      </c>
      <c r="G46">
        <v>-147000</v>
      </c>
      <c r="H46">
        <v>-47000</v>
      </c>
      <c r="I46">
        <v>53000</v>
      </c>
      <c r="J46">
        <v>153000</v>
      </c>
      <c r="K46">
        <v>253000</v>
      </c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41A9-05ED-469D-B711-59A0BF20686A}">
  <dimension ref="A1:H14"/>
  <sheetViews>
    <sheetView topLeftCell="B1" zoomScale="91" zoomScaleNormal="91" workbookViewId="0">
      <selection activeCell="F15" sqref="F15"/>
    </sheetView>
  </sheetViews>
  <sheetFormatPr defaultRowHeight="14.5" x14ac:dyDescent="0.35"/>
  <cols>
    <col min="1" max="1" width="23.6328125" customWidth="1"/>
    <col min="2" max="2" width="15.90625" customWidth="1"/>
    <col min="5" max="5" width="17.453125" customWidth="1"/>
    <col min="6" max="6" width="42.453125" customWidth="1"/>
    <col min="7" max="7" width="15.1796875" customWidth="1"/>
    <col min="8" max="8" width="71.54296875" customWidth="1"/>
  </cols>
  <sheetData>
    <row r="1" spans="1:8" x14ac:dyDescent="0.35">
      <c r="A1" t="s">
        <v>16</v>
      </c>
      <c r="B1" t="s">
        <v>20</v>
      </c>
      <c r="E1" t="s">
        <v>23</v>
      </c>
      <c r="F1" t="s">
        <v>31</v>
      </c>
      <c r="H1" t="s">
        <v>24</v>
      </c>
    </row>
    <row r="2" spans="1:8" x14ac:dyDescent="0.35">
      <c r="A2" t="s">
        <v>19</v>
      </c>
      <c r="B2">
        <v>35</v>
      </c>
      <c r="E2">
        <f>Table2[[#This Row],[REQUIRED INCREASE]]+40000</f>
        <v>100000</v>
      </c>
      <c r="F2">
        <v>60000</v>
      </c>
    </row>
    <row r="3" spans="1:8" x14ac:dyDescent="0.35">
      <c r="A3" t="s">
        <v>17</v>
      </c>
      <c r="B3">
        <v>45000</v>
      </c>
      <c r="E3">
        <f>Table2[[#This Row],[REQUIRED INCREASE]]+75000</f>
        <v>99999.999999999985</v>
      </c>
      <c r="F3">
        <v>24999.999999999989</v>
      </c>
    </row>
    <row r="4" spans="1:8" x14ac:dyDescent="0.35">
      <c r="A4" t="s">
        <v>18</v>
      </c>
      <c r="B4">
        <v>66428.571428571435</v>
      </c>
      <c r="E4">
        <f>Table2[[#This Row],[REQUIRED INCREASE]]+90000</f>
        <v>100000.00000000001</v>
      </c>
      <c r="F4">
        <v>10000.000000000018</v>
      </c>
    </row>
    <row r="5" spans="1:8" x14ac:dyDescent="0.35">
      <c r="A5" t="s">
        <v>21</v>
      </c>
      <c r="B5">
        <f>PRODUCT(B4,B2)</f>
        <v>2325000</v>
      </c>
    </row>
    <row r="6" spans="1:8" x14ac:dyDescent="0.35">
      <c r="A6" t="s">
        <v>22</v>
      </c>
      <c r="B6">
        <f>B5-(B2*B3)</f>
        <v>750000</v>
      </c>
    </row>
    <row r="7" spans="1:8" x14ac:dyDescent="0.35">
      <c r="E7" t="s">
        <v>34</v>
      </c>
      <c r="F7" t="s">
        <v>33</v>
      </c>
      <c r="H7" t="s">
        <v>27</v>
      </c>
    </row>
    <row r="8" spans="1:8" x14ac:dyDescent="0.35">
      <c r="E8" t="s">
        <v>32</v>
      </c>
      <c r="F8">
        <v>449.99999999999977</v>
      </c>
    </row>
    <row r="9" spans="1:8" x14ac:dyDescent="0.35">
      <c r="A9" s="11" t="s">
        <v>36</v>
      </c>
      <c r="B9" s="11">
        <v>750000</v>
      </c>
      <c r="E9" t="s">
        <v>25</v>
      </c>
      <c r="F9">
        <v>600</v>
      </c>
    </row>
    <row r="10" spans="1:8" x14ac:dyDescent="0.35">
      <c r="E10" t="s">
        <v>26</v>
      </c>
      <c r="F10" s="10">
        <f>(F8/F9)*100</f>
        <v>74.999999999999972</v>
      </c>
    </row>
    <row r="12" spans="1:8" x14ac:dyDescent="0.35">
      <c r="E12" s="8" t="s">
        <v>28</v>
      </c>
    </row>
    <row r="13" spans="1:8" ht="19.25" customHeight="1" x14ac:dyDescent="0.35">
      <c r="E13" t="s">
        <v>29</v>
      </c>
      <c r="F13" t="s">
        <v>28</v>
      </c>
      <c r="G13" t="s">
        <v>30</v>
      </c>
      <c r="H13" s="9" t="s">
        <v>35</v>
      </c>
    </row>
    <row r="14" spans="1:8" x14ac:dyDescent="0.35">
      <c r="E14">
        <v>50000</v>
      </c>
      <c r="F14">
        <v>12500</v>
      </c>
      <c r="G14">
        <f>E14+(F14*12)</f>
        <v>200000</v>
      </c>
      <c r="H14" s="9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DATATABLES</vt:lpstr>
      <vt:lpstr>GOAL SEEK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Chester Tugwell</dc:creator>
  <cp:lastModifiedBy>Muhammed safwam</cp:lastModifiedBy>
  <dcterms:created xsi:type="dcterms:W3CDTF">2022-02-01T14:00:28Z</dcterms:created>
  <dcterms:modified xsi:type="dcterms:W3CDTF">2026-09-22T10:33:00Z</dcterms:modified>
</cp:coreProperties>
</file>