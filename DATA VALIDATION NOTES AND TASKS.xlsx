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7" documentId="8_{3CF876C4-6C13-415A-A363-A903F0D2FAD9}" xr6:coauthVersionLast="47" xr6:coauthVersionMax="47" xr10:uidLastSave="{0E27ED8D-B12E-4082-94F7-B36EB5906D5C}"/>
  <bookViews>
    <workbookView xWindow="-110" yWindow="-110" windowWidth="19420" windowHeight="10300" xr2:uid="{80A0AB56-A4AF-46FC-92C4-A72C539C942A}"/>
  </bookViews>
  <sheets>
    <sheet name="TASK" sheetId="3" r:id="rId1"/>
    <sheet name="Sheet1" sheetId="6" r:id="rId2"/>
    <sheet name="NOT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88" i="5" l="1"/>
  <c r="B89" i="5"/>
  <c r="B90" i="5"/>
  <c r="B91" i="5"/>
  <c r="B92" i="5"/>
  <c r="B93" i="5"/>
  <c r="A102" i="5"/>
  <c r="A108" i="5"/>
  <c r="A118" i="5"/>
  <c r="A122" i="5"/>
  <c r="A130" i="5"/>
  <c r="A134" i="5"/>
  <c r="A138" i="5"/>
  <c r="A146" i="5"/>
  <c r="A150" i="5"/>
  <c r="A154" i="5"/>
  <c r="A162" i="5"/>
  <c r="A170" i="5"/>
  <c r="A188" i="5"/>
  <c r="A192" i="5"/>
  <c r="A200" i="5"/>
  <c r="A204" i="5"/>
  <c r="A208" i="5"/>
  <c r="A220" i="5"/>
  <c r="A239" i="5"/>
  <c r="B268" i="5"/>
  <c r="B269" i="5"/>
  <c r="B270" i="5"/>
  <c r="B271" i="5"/>
  <c r="B272" i="5"/>
  <c r="B273" i="5"/>
  <c r="B274" i="5"/>
  <c r="B275" i="5"/>
  <c r="B276" i="5"/>
  <c r="B277" i="5"/>
</calcChain>
</file>

<file path=xl/sharedStrings.xml><?xml version="1.0" encoding="utf-8"?>
<sst xmlns="http://schemas.openxmlformats.org/spreadsheetml/2006/main" count="335" uniqueCount="261">
  <si>
    <t>S.No</t>
  </si>
  <si>
    <t>Column Name</t>
  </si>
  <si>
    <t>Suggested Data Validation Type</t>
  </si>
  <si>
    <t>Example Values</t>
  </si>
  <si>
    <t>Employee_ID</t>
  </si>
  <si>
    <t>Custom / Text Length</t>
  </si>
  <si>
    <t>EMP001</t>
  </si>
  <si>
    <t>Employee_Name</t>
  </si>
  <si>
    <t>Text Length</t>
  </si>
  <si>
    <t>Arun Kumar</t>
  </si>
  <si>
    <t>Age</t>
  </si>
  <si>
    <t>Whole Number</t>
  </si>
  <si>
    <t>18–60</t>
  </si>
  <si>
    <t>Salary</t>
  </si>
  <si>
    <t>Decimal</t>
  </si>
  <si>
    <t>15,000–150,000</t>
  </si>
  <si>
    <t>Department</t>
  </si>
  <si>
    <t>List</t>
  </si>
  <si>
    <t>HR, IT, Finance, Sales, Marketing</t>
  </si>
  <si>
    <t>Designation</t>
  </si>
  <si>
    <t>Executive, Analyst, Manager, Developer</t>
  </si>
  <si>
    <t>Gender</t>
  </si>
  <si>
    <t>Male, Female, Other</t>
  </si>
  <si>
    <t>Joining_Date</t>
  </si>
  <si>
    <t>Date</t>
  </si>
  <si>
    <t>01-Jan-2020 onwards</t>
  </si>
  <si>
    <t>Date_of_Birth</t>
  </si>
  <si>
    <t>01-Jan-1965 to 31-Dec-2008</t>
  </si>
  <si>
    <t>Working_Hours</t>
  </si>
  <si>
    <t>1–12</t>
  </si>
  <si>
    <t>Working_Days</t>
  </si>
  <si>
    <t>1–31</t>
  </si>
  <si>
    <t>Attendance_Percentage</t>
  </si>
  <si>
    <t>0–100</t>
  </si>
  <si>
    <t>Performance_Rating</t>
  </si>
  <si>
    <t>1–5</t>
  </si>
  <si>
    <t>Employment_Status</t>
  </si>
  <si>
    <t>Active, On Leave, Resigned, Terminated</t>
  </si>
  <si>
    <t>Experience_Years</t>
  </si>
  <si>
    <t>0–40</t>
  </si>
  <si>
    <t>Email_ID</t>
  </si>
  <si>
    <t>Custom</t>
  </si>
  <si>
    <t>Example: abc@gmail.com</t>
  </si>
  <si>
    <t>Phone_Number</t>
  </si>
  <si>
    <t>10 digits</t>
  </si>
  <si>
    <t>City</t>
  </si>
  <si>
    <t>Kochi, Calicut, Kannur, Trivandrum, Chennai</t>
  </si>
  <si>
    <t>Work_Mode</t>
  </si>
  <si>
    <t>Office, Remote, Hybrid</t>
  </si>
  <si>
    <t>Training_Hours</t>
  </si>
  <si>
    <t>Leave_Days</t>
  </si>
  <si>
    <t>0–30</t>
  </si>
  <si>
    <t>Bonus_Percentage</t>
  </si>
  <si>
    <t>0–50</t>
  </si>
  <si>
    <t>Employee_Code</t>
  </si>
  <si>
    <t>Exactly 6 characters</t>
  </si>
  <si>
    <t>Department_Code</t>
  </si>
  <si>
    <t>HR01, IT01, FIN01, SAL01, MKT01</t>
  </si>
  <si>
    <t>Manager_Name</t>
  </si>
  <si>
    <t>Priya, Rahul, Anil, Sneha</t>
  </si>
  <si>
    <t>Project_Status</t>
  </si>
  <si>
    <t>Not Started, In Progress, Completed, On Hold</t>
  </si>
  <si>
    <t>Priority</t>
  </si>
  <si>
    <t>Low, Medium, High, Critical</t>
  </si>
  <si>
    <t>Review_Date</t>
  </si>
  <si>
    <t>Today or future date</t>
  </si>
  <si>
    <t>Monthly_Target</t>
  </si>
  <si>
    <t>10–1000</t>
  </si>
  <si>
    <t>Customer_Satisfaction</t>
  </si>
  <si>
    <t>1–10</t>
  </si>
  <si>
    <t>Excel Data Validation – Short Notes</t>
  </si>
  <si>
    <t>Definition</t>
  </si>
  <si>
    <r>
      <t>Data Validation</t>
    </r>
    <r>
      <rPr>
        <sz val="11"/>
        <color theme="1"/>
        <rFont val="Aptos Narrow"/>
        <family val="2"/>
        <scheme val="minor"/>
      </rPr>
      <t xml:space="preserve"> controls what users can enter into an Excel cell and helps prevent incorrect data.</t>
    </r>
  </si>
  <si>
    <r>
      <t>Path: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Data → Data Validation</t>
    </r>
  </si>
  <si>
    <t>Types of Data Validation</t>
  </si>
  <si>
    <t>Type</t>
  </si>
  <si>
    <t>Purpose</t>
  </si>
  <si>
    <t>Example</t>
  </si>
  <si>
    <t>Any Value</t>
  </si>
  <si>
    <t>Allows anything</t>
  </si>
  <si>
    <t>Comments</t>
  </si>
  <si>
    <t>Allows integers only</t>
  </si>
  <si>
    <t>Age: 18–60</t>
  </si>
  <si>
    <t>Allows decimal values</t>
  </si>
  <si>
    <t>Rating: 1–5</t>
  </si>
  <si>
    <t>Creates dropdown</t>
  </si>
  <si>
    <t>HR, IT, Finance</t>
  </si>
  <si>
    <t>Restricts dates</t>
  </si>
  <si>
    <t>Joining Date</t>
  </si>
  <si>
    <t>Time</t>
  </si>
  <si>
    <t>Restricts time</t>
  </si>
  <si>
    <t>8 AM–11 AM</t>
  </si>
  <si>
    <t>Controls characters</t>
  </si>
  <si>
    <t>Employee ID = 6</t>
  </si>
  <si>
    <t>Uses a formula</t>
  </si>
  <si>
    <t>ID must start with EMP</t>
  </si>
  <si>
    <t>Common Operators</t>
  </si>
  <si>
    <t>Operator</t>
  </si>
  <si>
    <t>Meaning</t>
  </si>
  <si>
    <t>Between</t>
  </si>
  <si>
    <t>Within a range</t>
  </si>
  <si>
    <t>Equal to</t>
  </si>
  <si>
    <t>Exact value</t>
  </si>
  <si>
    <t>Not equal to</t>
  </si>
  <si>
    <t>Different value</t>
  </si>
  <si>
    <t>Greater than</t>
  </si>
  <si>
    <t>Above</t>
  </si>
  <si>
    <t>Less than</t>
  </si>
  <si>
    <t>Below</t>
  </si>
  <si>
    <t>Greater than or equal to</t>
  </si>
  <si>
    <t>At least</t>
  </si>
  <si>
    <t>Less than or equal to</t>
  </si>
  <si>
    <t>At most</t>
  </si>
  <si>
    <t>Future date</t>
  </si>
  <si>
    <t>Input Message</t>
  </si>
  <si>
    <t>Displays instructions when a cell is selected.</t>
  </si>
  <si>
    <t>Example:</t>
  </si>
  <si>
    <t>Enter age between 18 and 60.</t>
  </si>
  <si>
    <t>Error Alert</t>
  </si>
  <si>
    <t>Style</t>
  </si>
  <si>
    <t>Function</t>
  </si>
  <si>
    <t>Stop</t>
  </si>
  <si>
    <t>Prevents invalid entry</t>
  </si>
  <si>
    <t>Warning</t>
  </si>
  <si>
    <t>Warns but allows entry</t>
  </si>
  <si>
    <t>Information</t>
  </si>
  <si>
    <t>Gives information</t>
  </si>
  <si>
    <t>Quick Memory</t>
  </si>
  <si>
    <t>Whole Number → integers</t>
  </si>
  <si>
    <t>Decimal → decimal numbers</t>
  </si>
  <si>
    <t>List → dropdown</t>
  </si>
  <si>
    <t>Date → dates</t>
  </si>
  <si>
    <t>Time → times</t>
  </si>
  <si>
    <t>Text Length → characters</t>
  </si>
  <si>
    <t>Custom → formula/rule</t>
  </si>
  <si>
    <t>Input Message → instructions</t>
  </si>
  <si>
    <t>Error Alert → invalid-entry response</t>
  </si>
  <si>
    <t>Excel Data Validation – Custom</t>
  </si>
  <si>
    <t>What is Custom Validation?</t>
  </si>
  <si>
    <r>
      <t>Custom Validation</t>
    </r>
    <r>
      <rPr>
        <sz val="11"/>
        <color theme="1"/>
        <rFont val="Aptos Narrow"/>
        <family val="2"/>
        <scheme val="minor"/>
      </rPr>
      <t xml:space="preserve"> allows you to create your own rule using an </t>
    </r>
    <r>
      <rPr>
        <b/>
        <sz val="11"/>
        <color theme="1"/>
        <rFont val="Aptos Narrow"/>
        <family val="2"/>
        <scheme val="minor"/>
      </rPr>
      <t>Excel formula</t>
    </r>
    <r>
      <rPr>
        <sz val="11"/>
        <color theme="1"/>
        <rFont val="Aptos Narrow"/>
        <family val="2"/>
        <scheme val="minor"/>
      </rPr>
      <t>.</t>
    </r>
  </si>
  <si>
    <t>Path:</t>
  </si>
  <si>
    <t>Data → Data Validation → Allow → Custom</t>
  </si>
  <si>
    <t>The formula must return:</t>
  </si>
  <si>
    <t>TRUE → Data is accepted</t>
  </si>
  <si>
    <t>FALSE → Data is rejected</t>
  </si>
  <si>
    <t>1. Basic Custom Examples</t>
  </si>
  <si>
    <t>Requirement</t>
  </si>
  <si>
    <t>Formula</t>
  </si>
  <si>
    <t>Value must be positive</t>
  </si>
  <si>
    <t>Value must be 18 or above</t>
  </si>
  <si>
    <t>Value must be below 100</t>
  </si>
  <si>
    <t>Cell cannot be blank</t>
  </si>
  <si>
    <t>Only "Yes" allowed</t>
  </si>
  <si>
    <t>Only "Active" allowed</t>
  </si>
  <si>
    <t>2. Using AND()</t>
  </si>
  <si>
    <r>
      <t xml:space="preserve">Use </t>
    </r>
    <r>
      <rPr>
        <b/>
        <sz val="11"/>
        <color theme="1"/>
        <rFont val="Aptos Narrow"/>
        <family val="2"/>
        <scheme val="minor"/>
      </rPr>
      <t>AND()</t>
    </r>
    <r>
      <rPr>
        <sz val="11"/>
        <color theme="1"/>
        <rFont val="Aptos Narrow"/>
        <family val="2"/>
        <scheme val="minor"/>
      </rPr>
      <t xml:space="preserve"> when </t>
    </r>
    <r>
      <rPr>
        <b/>
        <sz val="11"/>
        <color theme="1"/>
        <rFont val="Aptos Narrow"/>
        <family val="2"/>
        <scheme val="minor"/>
      </rPr>
      <t>all conditions must be satisfied</t>
    </r>
    <r>
      <rPr>
        <sz val="11"/>
        <color theme="1"/>
        <rFont val="Aptos Narrow"/>
        <family val="2"/>
        <scheme val="minor"/>
      </rPr>
      <t>.</t>
    </r>
  </si>
  <si>
    <t>Example: Age 18–60</t>
  </si>
  <si>
    <t>Both conditions must be TRUE.</t>
  </si>
  <si>
    <t>Example: Salary ₹15,000–₹100,000</t>
  </si>
  <si>
    <t>3. Using OR()</t>
  </si>
  <si>
    <r>
      <t xml:space="preserve">Use </t>
    </r>
    <r>
      <rPr>
        <b/>
        <sz val="11"/>
        <color theme="1"/>
        <rFont val="Aptos Narrow"/>
        <family val="2"/>
        <scheme val="minor"/>
      </rPr>
      <t>OR()</t>
    </r>
    <r>
      <rPr>
        <sz val="11"/>
        <color theme="1"/>
        <rFont val="Aptos Narrow"/>
        <family val="2"/>
        <scheme val="minor"/>
      </rPr>
      <t xml:space="preserve"> when </t>
    </r>
    <r>
      <rPr>
        <b/>
        <sz val="11"/>
        <color theme="1"/>
        <rFont val="Aptos Narrow"/>
        <family val="2"/>
        <scheme val="minor"/>
      </rPr>
      <t>any one condition can be satisfied</t>
    </r>
    <r>
      <rPr>
        <sz val="11"/>
        <color theme="1"/>
        <rFont val="Aptos Narrow"/>
        <family val="2"/>
        <scheme val="minor"/>
      </rPr>
      <t>.</t>
    </r>
  </si>
  <si>
    <t>Example: Department can be HR or IT</t>
  </si>
  <si>
    <t>Example: Status can be Active or On Leave</t>
  </si>
  <si>
    <t>4. Checking Text</t>
  </si>
  <si>
    <t>Starts with EMP</t>
  </si>
  <si>
    <t>Ends with 001</t>
  </si>
  <si>
    <t>Contains "India"</t>
  </si>
  <si>
    <t>5. Checking Text Length</t>
  </si>
  <si>
    <t>Maximum 20 characters</t>
  </si>
  <si>
    <t>Minimum 5 characters</t>
  </si>
  <si>
    <t>6. Preventing Duplicate Values</t>
  </si>
  <si>
    <t>For Employee ID:</t>
  </si>
  <si>
    <r>
      <t xml:space="preserve">This allows the value only if it appears </t>
    </r>
    <r>
      <rPr>
        <b/>
        <sz val="11"/>
        <color theme="1"/>
        <rFont val="Aptos Narrow"/>
        <family val="2"/>
        <scheme val="minor"/>
      </rPr>
      <t>once</t>
    </r>
    <r>
      <rPr>
        <sz val="11"/>
        <color theme="1"/>
        <rFont val="Aptos Narrow"/>
        <family val="2"/>
        <scheme val="minor"/>
      </rPr>
      <t>.</t>
    </r>
  </si>
  <si>
    <t>7. Preventing Blank Cells</t>
  </si>
  <si>
    <t>Useful for mandatory fields such as:</t>
  </si>
  <si>
    <t>Employee ID</t>
  </si>
  <si>
    <t>Student ID</t>
  </si>
  <si>
    <t>Customer ID</t>
  </si>
  <si>
    <t>Order ID</t>
  </si>
  <si>
    <t>8. Checking Numbers</t>
  </si>
  <si>
    <t>Only numbers</t>
  </si>
  <si>
    <t>Only text</t>
  </si>
  <si>
    <t>9. Date Validation</t>
  </si>
  <si>
    <t>Date cannot be before today</t>
  </si>
  <si>
    <t>Only future dates</t>
  </si>
  <si>
    <t>Only weekdays</t>
  </si>
  <si>
    <r>
      <t xml:space="preserve">This allows </t>
    </r>
    <r>
      <rPr>
        <b/>
        <sz val="11"/>
        <color theme="1"/>
        <rFont val="Aptos Narrow"/>
        <family val="2"/>
        <scheme val="minor"/>
      </rPr>
      <t>Monday–Friday</t>
    </r>
    <r>
      <rPr>
        <sz val="11"/>
        <color theme="1"/>
        <rFont val="Aptos Narrow"/>
        <family val="2"/>
        <scheme val="minor"/>
      </rPr>
      <t>.</t>
    </r>
  </si>
  <si>
    <t>10. Combining Conditions</t>
  </si>
  <si>
    <t>Age must be 18–60 AND employee must be Active.</t>
  </si>
  <si>
    <t>11. Custom vs List</t>
  </si>
  <si>
    <t>Uses formula</t>
  </si>
  <si>
    <t>Uses predefined options</t>
  </si>
  <si>
    <t>More flexible</t>
  </si>
  <si>
    <t>Easier to create</t>
  </si>
  <si>
    <t>Good for complex rules</t>
  </si>
  <si>
    <t>Good for dropdowns</t>
  </si>
  <si>
    <t>Can combine conditions</t>
  </si>
  <si>
    <t>Best for fixed choices</t>
  </si>
  <si>
    <t>List:</t>
  </si>
  <si>
    <t>Custom:</t>
  </si>
  <si>
    <r>
      <t xml:space="preserve">Both can work, but </t>
    </r>
    <r>
      <rPr>
        <b/>
        <sz val="11"/>
        <color theme="1"/>
        <rFont val="Aptos Narrow"/>
        <family val="2"/>
        <scheme val="minor"/>
      </rPr>
      <t>List is simpler</t>
    </r>
    <r>
      <rPr>
        <sz val="11"/>
        <color theme="1"/>
        <rFont val="Aptos Narrow"/>
        <family val="2"/>
        <scheme val="minor"/>
      </rPr>
      <t xml:space="preserve"> for fixed options.</t>
    </r>
  </si>
  <si>
    <t>12. Important Rules for Custom Validation</t>
  </si>
  <si>
    <r>
      <t xml:space="preserve">1. Formula must return </t>
    </r>
    <r>
      <rPr>
        <b/>
        <sz val="11"/>
        <color theme="1"/>
        <rFont val="Aptos Narrow"/>
        <family val="2"/>
        <scheme val="minor"/>
      </rPr>
      <t>TRUE or FALSE</t>
    </r>
    <r>
      <rPr>
        <sz val="11"/>
        <color theme="1"/>
        <rFont val="Aptos Narrow"/>
        <family val="2"/>
        <scheme val="minor"/>
      </rPr>
      <t>.</t>
    </r>
  </si>
  <si>
    <r>
      <t xml:space="preserve">2. Reference the </t>
    </r>
    <r>
      <rPr>
        <b/>
        <sz val="11"/>
        <color theme="1"/>
        <rFont val="Aptos Narrow"/>
        <family val="2"/>
        <scheme val="minor"/>
      </rPr>
      <t>first cell</t>
    </r>
    <r>
      <rPr>
        <sz val="11"/>
        <color theme="1"/>
        <rFont val="Aptos Narrow"/>
        <family val="2"/>
        <scheme val="minor"/>
      </rPr>
      <t xml:space="preserve"> of your selected range.</t>
    </r>
  </si>
  <si>
    <r>
      <t xml:space="preserve">3. Use </t>
    </r>
    <r>
      <rPr>
        <sz val="10"/>
        <color theme="1"/>
        <rFont val="Arial Unicode MS"/>
      </rPr>
      <t>$</t>
    </r>
    <r>
      <rPr>
        <sz val="11"/>
        <color theme="1"/>
        <rFont val="Aptos Narrow"/>
        <family val="2"/>
        <scheme val="minor"/>
      </rPr>
      <t xml:space="preserve"> when you need fixed ranges.</t>
    </r>
  </si>
  <si>
    <r>
      <t xml:space="preserve">4. Use </t>
    </r>
    <r>
      <rPr>
        <sz val="10"/>
        <color theme="1"/>
        <rFont val="Arial Unicode MS"/>
      </rPr>
      <t>AND()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all conditions</t>
    </r>
    <r>
      <rPr>
        <sz val="11"/>
        <color theme="1"/>
        <rFont val="Aptos Narrow"/>
        <family val="2"/>
        <scheme val="minor"/>
      </rPr>
      <t>.</t>
    </r>
  </si>
  <si>
    <r>
      <t xml:space="preserve">5. Use </t>
    </r>
    <r>
      <rPr>
        <sz val="10"/>
        <color theme="1"/>
        <rFont val="Arial Unicode MS"/>
      </rPr>
      <t>OR()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any condition</t>
    </r>
    <r>
      <rPr>
        <sz val="11"/>
        <color theme="1"/>
        <rFont val="Aptos Narrow"/>
        <family val="2"/>
        <scheme val="minor"/>
      </rPr>
      <t>.</t>
    </r>
  </si>
  <si>
    <r>
      <t xml:space="preserve">6. Use </t>
    </r>
    <r>
      <rPr>
        <sz val="10"/>
        <color theme="1"/>
        <rFont val="Arial Unicode MS"/>
      </rPr>
      <t>COUNTIF()</t>
    </r>
    <r>
      <rPr>
        <sz val="11"/>
        <color theme="1"/>
        <rFont val="Aptos Narrow"/>
        <family val="2"/>
        <scheme val="minor"/>
      </rPr>
      <t xml:space="preserve"> for duplicate checking.</t>
    </r>
  </si>
  <si>
    <r>
      <t xml:space="preserve">7. Use </t>
    </r>
    <r>
      <rPr>
        <sz val="10"/>
        <color theme="1"/>
        <rFont val="Arial Unicode MS"/>
      </rPr>
      <t>LEN()</t>
    </r>
    <r>
      <rPr>
        <sz val="11"/>
        <color theme="1"/>
        <rFont val="Aptos Narrow"/>
        <family val="2"/>
        <scheme val="minor"/>
      </rPr>
      <t xml:space="preserve"> for character length.</t>
    </r>
  </si>
  <si>
    <r>
      <t xml:space="preserve">8. Use </t>
    </r>
    <r>
      <rPr>
        <sz val="10"/>
        <color theme="1"/>
        <rFont val="Arial Unicode MS"/>
      </rPr>
      <t>LEFT()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RIGHT()</t>
    </r>
    <r>
      <rPr>
        <sz val="11"/>
        <color theme="1"/>
        <rFont val="Aptos Narrow"/>
        <family val="2"/>
        <scheme val="minor"/>
      </rPr>
      <t xml:space="preserve"> for text patterns.</t>
    </r>
  </si>
  <si>
    <r>
      <t xml:space="preserve">9. Use </t>
    </r>
    <r>
      <rPr>
        <sz val="10"/>
        <color theme="1"/>
        <rFont val="Arial Unicode MS"/>
      </rPr>
      <t>TODAY()</t>
    </r>
    <r>
      <rPr>
        <sz val="11"/>
        <color theme="1"/>
        <rFont val="Aptos Narrow"/>
        <family val="2"/>
        <scheme val="minor"/>
      </rPr>
      <t xml:space="preserve"> for dynamic date rules.</t>
    </r>
  </si>
  <si>
    <t>Quick Formula Cheat Sheet</t>
  </si>
  <si>
    <t>Positive number</t>
  </si>
  <si>
    <t>Not blank</t>
  </si>
  <si>
    <t>No duplicates</t>
  </si>
  <si>
    <t>Monday–Friday</t>
  </si>
  <si>
    <t>Number only</t>
  </si>
  <si>
    <t>Text only</t>
  </si>
  <si>
    <t>Column1</t>
  </si>
  <si>
    <t>ANOOP</t>
  </si>
  <si>
    <t>HR</t>
  </si>
  <si>
    <t xml:space="preserve"> IT</t>
  </si>
  <si>
    <t xml:space="preserve"> Finance</t>
  </si>
  <si>
    <t xml:space="preserve"> Sales</t>
  </si>
  <si>
    <t xml:space="preserve"> Marketing</t>
  </si>
  <si>
    <t>Executive</t>
  </si>
  <si>
    <t xml:space="preserve"> Analyst</t>
  </si>
  <si>
    <t xml:space="preserve"> Manager</t>
  </si>
  <si>
    <t xml:space="preserve"> Developer</t>
  </si>
  <si>
    <t>MALE</t>
  </si>
  <si>
    <t>FEMALE</t>
  </si>
  <si>
    <t xml:space="preserve">ACTIVE </t>
  </si>
  <si>
    <t xml:space="preserve">ON LEAVE </t>
  </si>
  <si>
    <t xml:space="preserve">RESIGNED </t>
  </si>
  <si>
    <t>TERMINATED</t>
  </si>
  <si>
    <t>safvan10@gmail.com</t>
  </si>
  <si>
    <t>Kochi</t>
  </si>
  <si>
    <t>Calicut</t>
  </si>
  <si>
    <t>Chennai</t>
  </si>
  <si>
    <t>Kannur</t>
  </si>
  <si>
    <t>Trivandrum</t>
  </si>
  <si>
    <t>Office</t>
  </si>
  <si>
    <t>Remote</t>
  </si>
  <si>
    <t>Hybrid</t>
  </si>
  <si>
    <t>HR01</t>
  </si>
  <si>
    <t>IT01</t>
  </si>
  <si>
    <t>FIN01</t>
  </si>
  <si>
    <t>SAL01</t>
  </si>
  <si>
    <t>MKT01</t>
  </si>
  <si>
    <t>Priya</t>
  </si>
  <si>
    <t>Rahul</t>
  </si>
  <si>
    <t>Anil</t>
  </si>
  <si>
    <t>Sneha</t>
  </si>
  <si>
    <t>Not Started</t>
  </si>
  <si>
    <t>In Progress</t>
  </si>
  <si>
    <t>Completed</t>
  </si>
  <si>
    <t>On Hold</t>
  </si>
  <si>
    <t>Low</t>
  </si>
  <si>
    <t>Medium</t>
  </si>
  <si>
    <t>High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</si>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</sst>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98E70-2D90-4DDF-A69E-16A5D8B6BA39}" name="Table1" displayName="Table1" ref="A1:D31" totalsRowShown="0" headerRowDxfId="9" dataDxfId="7" headerRowBorderDxfId="8" tableBorderDxfId="6" totalsRowBorderDxfId="5">
  <autoFilter ref="A1:D31" xr:uid="{25198E70-2D90-4DDF-A69E-16A5D8B6BA39}"/>
  <tableColumns count="4">
    <tableColumn id="1" xr3:uid="{E7DD8751-1C0E-4906-8697-59E272E35B9F}" name="S.No" dataDxfId="4"/>
    <tableColumn id="2" xr3:uid="{8EDACE37-E5FB-42D7-A0ED-FDE98D6EAA04}" name="Column Name" dataDxfId="3"/>
    <tableColumn id="3" xr3:uid="{A94D685F-95EA-4463-998D-EE229FDF0FDB}" name="Suggested Data Validation Type" dataDxfId="2"/>
    <tableColumn id="4" xr3:uid="{4B1F3910-80AA-4428-A39E-FDD4C7B4BBD2}" name="Example Values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2AD5D5-0C6D-43AA-B0B8-742004F48211}" name="Table2" displayName="Table2" ref="A1:AE18" totalsRowShown="0" headerRowDxfId="0">
  <autoFilter ref="A1:AE18" xr:uid="{BE2AD5D5-0C6D-43AA-B0B8-742004F48211}"/>
  <tableColumns count="31">
    <tableColumn id="1" xr3:uid="{E8740005-A567-43D3-8420-9FF751FA2484}" name="Employee_ID"/>
    <tableColumn id="2" xr3:uid="{FB26A0E8-BF6F-4F57-A06B-D2297E712057}" name="Employee_Name"/>
    <tableColumn id="3" xr3:uid="{155BF57B-8BF2-45F0-A98E-22536745FAC2}" name="Age"/>
    <tableColumn id="4" xr3:uid="{FF305F42-C0AD-4F78-8D6B-131CA5E1E6AD}" name="Salary"/>
    <tableColumn id="5" xr3:uid="{1F6BBCA0-622A-4BF8-9458-ADA12FA796B5}" name="Department"/>
    <tableColumn id="6" xr3:uid="{6BB3B63D-7CC7-452D-91E9-BA6DD16A64B8}" name="Designation"/>
    <tableColumn id="7" xr3:uid="{11719897-CECD-46A8-A331-403417587E82}" name="Gender"/>
    <tableColumn id="8" xr3:uid="{8C0023F7-7A01-40D1-B9C0-2D06209A1D56}" name="Joining_Date"/>
    <tableColumn id="9" xr3:uid="{D68254AB-9C35-47EF-B090-ABF401EEE767}" name="Date_of_Birth"/>
    <tableColumn id="10" xr3:uid="{8A87734F-4A05-48F8-9453-16700B902C6F}" name="Working_Hours"/>
    <tableColumn id="11" xr3:uid="{11085B9E-D6E3-416B-8F21-D871F919DDA4}" name="Working_Days"/>
    <tableColumn id="12" xr3:uid="{192F2A1B-F8C8-4B78-88A0-F93BC0A64C10}" name="Attendance_Percentage"/>
    <tableColumn id="13" xr3:uid="{036DC2E7-B9A7-4380-9C7E-7385A2662AD2}" name="Performance_Rating"/>
    <tableColumn id="14" xr3:uid="{F9F9BDAF-F475-468B-A5D1-0CBD4E2F5119}" name="Employment_Status"/>
    <tableColumn id="15" xr3:uid="{D9EEDBE8-E67D-4144-B55E-D1F432FBD48D}" name="Experience_Years"/>
    <tableColumn id="16" xr3:uid="{D3AFE259-F314-4F2C-9563-FF985C47085B}" name="Email_ID"/>
    <tableColumn id="17" xr3:uid="{7B742D48-64F5-45BF-81D9-F9171980E787}" name="Phone_Number"/>
    <tableColumn id="18" xr3:uid="{12E97BE0-112E-4DF3-9ADD-F32C5E8125B3}" name="City"/>
    <tableColumn id="19" xr3:uid="{CEC2BCF1-12FA-431F-8FB6-2460BA765559}" name="Work_Mode"/>
    <tableColumn id="20" xr3:uid="{ECBEB273-0511-41A3-AAED-2D24D3939664}" name="Training_Hours"/>
    <tableColumn id="21" xr3:uid="{BBACEBCC-49E0-466D-80B6-D61F3EBE5EFF}" name="Leave_Days"/>
    <tableColumn id="22" xr3:uid="{0B1DC9FF-7B7B-43D7-A79C-40D97719D43B}" name="Bonus_Percentage"/>
    <tableColumn id="23" xr3:uid="{4924F19D-8450-4C71-BC61-5A8F3C6E7158}" name="Employee_Code"/>
    <tableColumn id="24" xr3:uid="{2C757F0B-F6C8-4B31-8903-1C05669BB740}" name="Department_Code"/>
    <tableColumn id="25" xr3:uid="{1B917142-ACDF-45AA-8026-204A5D68A54E}" name="Manager_Name"/>
    <tableColumn id="26" xr3:uid="{443507F2-19C1-4F77-9E02-2B926E20AF2D}" name="Project_Status"/>
    <tableColumn id="27" xr3:uid="{5F568D38-14C0-40D6-AE3A-6FC5B6F03C74}" name="Priority"/>
    <tableColumn id="28" xr3:uid="{CC13ABF3-4447-4382-9739-F4BA40FC3C69}" name="Review_Date"/>
    <tableColumn id="29" xr3:uid="{0470F93D-ADCB-43C3-8057-788A74C63CCE}" name="Monthly_Target"/>
    <tableColumn id="30" xr3:uid="{65D4ED0C-19A8-4217-9CCF-975F0C126A87}" name="Customer_Satisfaction"/>
    <tableColumn id="31" xr3:uid="{90AA1504-6DFF-48EF-8EBF-0DD85F0C47C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safvan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C7BB-0637-4645-B908-65069D99CF27}">
  <dimension ref="A1:H31"/>
  <sheetViews>
    <sheetView tabSelected="1" topLeftCell="A19" workbookViewId="0">
      <selection activeCell="D28" sqref="D28"/>
    </sheetView>
  </sheetViews>
  <sheetFormatPr defaultRowHeight="14.5"/>
  <cols>
    <col min="1" max="1" width="19.54296875" customWidth="1"/>
    <col min="2" max="2" width="32.08984375" customWidth="1"/>
    <col min="3" max="3" width="34.81640625" customWidth="1"/>
    <col min="4" max="4" width="29.90625" customWidth="1"/>
    <col min="8" max="8" width="26.1796875" customWidth="1"/>
  </cols>
  <sheetData>
    <row r="1" spans="1:8" ht="16">
      <c r="A1" s="23" t="s">
        <v>0</v>
      </c>
      <c r="B1" s="24" t="s">
        <v>1</v>
      </c>
      <c r="C1" s="24" t="s">
        <v>2</v>
      </c>
      <c r="D1" s="25" t="s">
        <v>3</v>
      </c>
      <c r="H1" s="15"/>
    </row>
    <row r="2" spans="1:8" ht="16">
      <c r="A2" s="26">
        <v>1</v>
      </c>
      <c r="B2" s="27" t="s">
        <v>4</v>
      </c>
      <c r="C2" s="27" t="s">
        <v>5</v>
      </c>
      <c r="D2" s="28" t="s">
        <v>6</v>
      </c>
    </row>
    <row r="3" spans="1:8" ht="16">
      <c r="A3" s="26">
        <v>2</v>
      </c>
      <c r="B3" s="27" t="s">
        <v>7</v>
      </c>
      <c r="C3" s="27" t="s">
        <v>8</v>
      </c>
      <c r="D3" s="28" t="s">
        <v>9</v>
      </c>
    </row>
    <row r="4" spans="1:8" ht="16">
      <c r="A4" s="26">
        <v>3</v>
      </c>
      <c r="B4" s="27" t="s">
        <v>10</v>
      </c>
      <c r="C4" s="27" t="s">
        <v>11</v>
      </c>
      <c r="D4" s="28" t="s">
        <v>12</v>
      </c>
    </row>
    <row r="5" spans="1:8" ht="16">
      <c r="A5" s="26">
        <v>4</v>
      </c>
      <c r="B5" s="27" t="s">
        <v>13</v>
      </c>
      <c r="C5" s="27" t="s">
        <v>14</v>
      </c>
      <c r="D5" s="28" t="s">
        <v>15</v>
      </c>
    </row>
    <row r="6" spans="1:8" ht="16">
      <c r="A6" s="26">
        <v>5</v>
      </c>
      <c r="B6" s="27" t="s">
        <v>16</v>
      </c>
      <c r="C6" s="27" t="s">
        <v>17</v>
      </c>
      <c r="D6" s="28" t="s">
        <v>18</v>
      </c>
    </row>
    <row r="7" spans="1:8" ht="32">
      <c r="A7" s="26">
        <v>6</v>
      </c>
      <c r="B7" s="27" t="s">
        <v>19</v>
      </c>
      <c r="C7" s="27" t="s">
        <v>17</v>
      </c>
      <c r="D7" s="28" t="s">
        <v>20</v>
      </c>
    </row>
    <row r="8" spans="1:8" ht="16">
      <c r="A8" s="26">
        <v>7</v>
      </c>
      <c r="B8" s="27" t="s">
        <v>21</v>
      </c>
      <c r="C8" s="27" t="s">
        <v>17</v>
      </c>
      <c r="D8" s="28" t="s">
        <v>22</v>
      </c>
    </row>
    <row r="9" spans="1:8" ht="16">
      <c r="A9" s="26">
        <v>8</v>
      </c>
      <c r="B9" s="27" t="s">
        <v>23</v>
      </c>
      <c r="C9" s="27" t="s">
        <v>24</v>
      </c>
      <c r="D9" s="28" t="s">
        <v>25</v>
      </c>
    </row>
    <row r="10" spans="1:8" ht="16">
      <c r="A10" s="26">
        <v>9</v>
      </c>
      <c r="B10" s="27" t="s">
        <v>26</v>
      </c>
      <c r="C10" s="27" t="s">
        <v>24</v>
      </c>
      <c r="D10" s="28" t="s">
        <v>27</v>
      </c>
    </row>
    <row r="11" spans="1:8" ht="16">
      <c r="A11" s="26">
        <v>10</v>
      </c>
      <c r="B11" s="27" t="s">
        <v>28</v>
      </c>
      <c r="C11" s="27" t="s">
        <v>14</v>
      </c>
      <c r="D11" s="28" t="s">
        <v>29</v>
      </c>
    </row>
    <row r="12" spans="1:8" ht="16">
      <c r="A12" s="26">
        <v>11</v>
      </c>
      <c r="B12" s="27" t="s">
        <v>30</v>
      </c>
      <c r="C12" s="27" t="s">
        <v>11</v>
      </c>
      <c r="D12" s="28" t="s">
        <v>31</v>
      </c>
    </row>
    <row r="13" spans="1:8" ht="16">
      <c r="A13" s="26">
        <v>12</v>
      </c>
      <c r="B13" s="27" t="s">
        <v>32</v>
      </c>
      <c r="C13" s="27" t="s">
        <v>14</v>
      </c>
      <c r="D13" s="28" t="s">
        <v>33</v>
      </c>
    </row>
    <row r="14" spans="1:8" ht="16">
      <c r="A14" s="26">
        <v>13</v>
      </c>
      <c r="B14" s="27" t="s">
        <v>34</v>
      </c>
      <c r="C14" s="27" t="s">
        <v>14</v>
      </c>
      <c r="D14" s="28" t="s">
        <v>35</v>
      </c>
    </row>
    <row r="15" spans="1:8" ht="32">
      <c r="A15" s="26">
        <v>14</v>
      </c>
      <c r="B15" s="27" t="s">
        <v>36</v>
      </c>
      <c r="C15" s="27" t="s">
        <v>17</v>
      </c>
      <c r="D15" s="28" t="s">
        <v>37</v>
      </c>
    </row>
    <row r="16" spans="1:8" ht="16">
      <c r="A16" s="26">
        <v>15</v>
      </c>
      <c r="B16" s="27" t="s">
        <v>38</v>
      </c>
      <c r="C16" s="27" t="s">
        <v>11</v>
      </c>
      <c r="D16" s="28" t="s">
        <v>39</v>
      </c>
    </row>
    <row r="17" spans="1:4" ht="16">
      <c r="A17" s="26">
        <v>16</v>
      </c>
      <c r="B17" s="27" t="s">
        <v>40</v>
      </c>
      <c r="C17" s="27" t="s">
        <v>41</v>
      </c>
      <c r="D17" s="29" t="s">
        <v>42</v>
      </c>
    </row>
    <row r="18" spans="1:4" ht="16">
      <c r="A18" s="26">
        <v>17</v>
      </c>
      <c r="B18" s="27" t="s">
        <v>43</v>
      </c>
      <c r="C18" s="27" t="s">
        <v>8</v>
      </c>
      <c r="D18" s="28" t="s">
        <v>44</v>
      </c>
    </row>
    <row r="19" spans="1:4" ht="32">
      <c r="A19" s="26">
        <v>18</v>
      </c>
      <c r="B19" s="27" t="s">
        <v>45</v>
      </c>
      <c r="C19" s="27" t="s">
        <v>17</v>
      </c>
      <c r="D19" s="28" t="s">
        <v>46</v>
      </c>
    </row>
    <row r="20" spans="1:4" ht="16">
      <c r="A20" s="26">
        <v>19</v>
      </c>
      <c r="B20" s="27" t="s">
        <v>47</v>
      </c>
      <c r="C20" s="27" t="s">
        <v>17</v>
      </c>
      <c r="D20" s="28" t="s">
        <v>48</v>
      </c>
    </row>
    <row r="21" spans="1:4" ht="16">
      <c r="A21" s="26">
        <v>20</v>
      </c>
      <c r="B21" s="27" t="s">
        <v>49</v>
      </c>
      <c r="C21" s="27" t="s">
        <v>11</v>
      </c>
      <c r="D21" s="28" t="s">
        <v>33</v>
      </c>
    </row>
    <row r="22" spans="1:4" ht="16">
      <c r="A22" s="26">
        <v>21</v>
      </c>
      <c r="B22" s="27" t="s">
        <v>50</v>
      </c>
      <c r="C22" s="27" t="s">
        <v>11</v>
      </c>
      <c r="D22" s="28" t="s">
        <v>51</v>
      </c>
    </row>
    <row r="23" spans="1:4" ht="16">
      <c r="A23" s="26">
        <v>22</v>
      </c>
      <c r="B23" s="27" t="s">
        <v>52</v>
      </c>
      <c r="C23" s="27" t="s">
        <v>14</v>
      </c>
      <c r="D23" s="28" t="s">
        <v>53</v>
      </c>
    </row>
    <row r="24" spans="1:4" ht="16">
      <c r="A24" s="26">
        <v>23</v>
      </c>
      <c r="B24" s="27" t="s">
        <v>54</v>
      </c>
      <c r="C24" s="27" t="s">
        <v>8</v>
      </c>
      <c r="D24" s="28" t="s">
        <v>55</v>
      </c>
    </row>
    <row r="25" spans="1:4" ht="16">
      <c r="A25" s="26">
        <v>24</v>
      </c>
      <c r="B25" s="27" t="s">
        <v>56</v>
      </c>
      <c r="C25" s="27" t="s">
        <v>17</v>
      </c>
      <c r="D25" s="28" t="s">
        <v>57</v>
      </c>
    </row>
    <row r="26" spans="1:4" ht="16">
      <c r="A26" s="26">
        <v>25</v>
      </c>
      <c r="B26" s="27" t="s">
        <v>58</v>
      </c>
      <c r="C26" s="27" t="s">
        <v>17</v>
      </c>
      <c r="D26" s="28" t="s">
        <v>59</v>
      </c>
    </row>
    <row r="27" spans="1:4" ht="32">
      <c r="A27" s="26">
        <v>26</v>
      </c>
      <c r="B27" s="27" t="s">
        <v>60</v>
      </c>
      <c r="C27" s="27" t="s">
        <v>17</v>
      </c>
      <c r="D27" s="28" t="s">
        <v>61</v>
      </c>
    </row>
    <row r="28" spans="1:4" ht="16">
      <c r="A28" s="26">
        <v>27</v>
      </c>
      <c r="B28" s="27" t="s">
        <v>62</v>
      </c>
      <c r="C28" s="27" t="s">
        <v>17</v>
      </c>
      <c r="D28" s="28" t="s">
        <v>63</v>
      </c>
    </row>
    <row r="29" spans="1:4" ht="16">
      <c r="A29" s="26">
        <v>28</v>
      </c>
      <c r="B29" s="27" t="s">
        <v>64</v>
      </c>
      <c r="C29" s="27" t="s">
        <v>24</v>
      </c>
      <c r="D29" s="28" t="s">
        <v>65</v>
      </c>
    </row>
    <row r="30" spans="1:4" ht="16">
      <c r="A30" s="26">
        <v>29</v>
      </c>
      <c r="B30" s="27" t="s">
        <v>66</v>
      </c>
      <c r="C30" s="27" t="s">
        <v>11</v>
      </c>
      <c r="D30" s="28" t="s">
        <v>67</v>
      </c>
    </row>
    <row r="31" spans="1:4" ht="16">
      <c r="A31" s="30">
        <v>30</v>
      </c>
      <c r="B31" s="31" t="s">
        <v>68</v>
      </c>
      <c r="C31" s="31" t="s">
        <v>14</v>
      </c>
      <c r="D31" s="32" t="s">
        <v>69</v>
      </c>
    </row>
  </sheetData>
  <phoneticPr fontId="7" type="noConversion"/>
  <dataValidations count="1">
    <dataValidation type="list" allowBlank="1" showInputMessage="1" showErrorMessage="1" sqref="H5" xr:uid="{5C0861D3-2504-40E8-A320-0628CDAF8B3F}">
      <formula1>$D$6</formula1>
    </dataValidation>
  </dataValidations>
  <hyperlinks>
    <hyperlink ref="D17" r:id="rId1" display="mailto:abc@gmail.com" xr:uid="{CE299733-54A2-450B-B8E4-5833C56AE6F8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47AE-F3FB-4F1E-A805-85BC356E8822}">
  <dimension ref="A1:AE20"/>
  <sheetViews>
    <sheetView topLeftCell="Y1" zoomScale="90" zoomScaleNormal="90" workbookViewId="0">
      <selection activeCell="AB2" sqref="AB2"/>
    </sheetView>
  </sheetViews>
  <sheetFormatPr defaultRowHeight="14.5"/>
  <cols>
    <col min="1" max="1" width="19.54296875" customWidth="1"/>
    <col min="2" max="2" width="24.08984375" customWidth="1"/>
    <col min="4" max="4" width="11.36328125" customWidth="1"/>
    <col min="5" max="5" width="18" customWidth="1"/>
    <col min="6" max="6" width="18.453125" customWidth="1"/>
    <col min="7" max="7" width="12.7265625" customWidth="1"/>
    <col min="8" max="8" width="20" customWidth="1"/>
    <col min="9" max="9" width="20.90625" customWidth="1"/>
    <col min="10" max="10" width="22.26953125" customWidth="1"/>
    <col min="11" max="11" width="21.1796875" customWidth="1"/>
    <col min="12" max="12" width="34.54296875" customWidth="1"/>
    <col min="13" max="13" width="29.36328125" customWidth="1"/>
    <col min="14" max="14" width="28.1796875" customWidth="1"/>
    <col min="15" max="15" width="26.36328125" customWidth="1"/>
    <col min="16" max="16" width="19.7265625" customWidth="1"/>
    <col min="17" max="17" width="22.7265625" customWidth="1"/>
    <col min="18" max="18" width="12.7265625" customWidth="1"/>
    <col min="19" max="19" width="18" customWidth="1"/>
    <col min="20" max="20" width="22.54296875" customWidth="1"/>
    <col min="21" max="21" width="18.90625" customWidth="1"/>
    <col min="22" max="22" width="27.7265625" customWidth="1"/>
    <col min="23" max="23" width="23.6328125" customWidth="1"/>
    <col min="24" max="24" width="26.1796875" customWidth="1"/>
    <col min="25" max="25" width="23" customWidth="1"/>
    <col min="26" max="26" width="22.26953125" customWidth="1"/>
    <col min="27" max="27" width="12.26953125" customWidth="1"/>
    <col min="28" max="28" width="19.81640625" customWidth="1"/>
    <col min="29" max="29" width="23" customWidth="1"/>
    <col min="30" max="30" width="32.08984375" customWidth="1"/>
    <col min="31" max="31" width="13.1796875" customWidth="1"/>
  </cols>
  <sheetData>
    <row r="1" spans="1:31" ht="16">
      <c r="A1" s="27" t="s">
        <v>4</v>
      </c>
      <c r="B1" s="27" t="s">
        <v>7</v>
      </c>
      <c r="C1" s="27" t="s">
        <v>10</v>
      </c>
      <c r="D1" s="27" t="s">
        <v>13</v>
      </c>
      <c r="E1" s="27" t="s">
        <v>16</v>
      </c>
      <c r="F1" s="27" t="s">
        <v>19</v>
      </c>
      <c r="G1" s="27" t="s">
        <v>21</v>
      </c>
      <c r="H1" s="27" t="s">
        <v>23</v>
      </c>
      <c r="I1" s="27" t="s">
        <v>26</v>
      </c>
      <c r="J1" s="27" t="s">
        <v>28</v>
      </c>
      <c r="K1" s="27" t="s">
        <v>30</v>
      </c>
      <c r="L1" s="27" t="s">
        <v>32</v>
      </c>
      <c r="M1" s="27" t="s">
        <v>34</v>
      </c>
      <c r="N1" s="27" t="s">
        <v>36</v>
      </c>
      <c r="O1" s="27" t="s">
        <v>38</v>
      </c>
      <c r="P1" s="27" t="s">
        <v>40</v>
      </c>
      <c r="Q1" s="27" t="s">
        <v>43</v>
      </c>
      <c r="R1" s="27" t="s">
        <v>45</v>
      </c>
      <c r="S1" s="27" t="s">
        <v>47</v>
      </c>
      <c r="T1" s="27" t="s">
        <v>49</v>
      </c>
      <c r="U1" s="27" t="s">
        <v>50</v>
      </c>
      <c r="V1" s="27" t="s">
        <v>52</v>
      </c>
      <c r="W1" s="27" t="s">
        <v>54</v>
      </c>
      <c r="X1" s="27" t="s">
        <v>56</v>
      </c>
      <c r="Y1" s="27" t="s">
        <v>58</v>
      </c>
      <c r="Z1" s="27" t="s">
        <v>60</v>
      </c>
      <c r="AA1" s="27" t="s">
        <v>62</v>
      </c>
      <c r="AB1" s="27" t="s">
        <v>64</v>
      </c>
      <c r="AC1" s="27" t="s">
        <v>66</v>
      </c>
      <c r="AD1" s="27" t="s">
        <v>68</v>
      </c>
      <c r="AE1" t="s">
        <v>218</v>
      </c>
    </row>
    <row r="2" spans="1:31">
      <c r="A2" t="s">
        <v>6</v>
      </c>
      <c r="B2" t="s">
        <v>219</v>
      </c>
      <c r="C2">
        <v>54</v>
      </c>
      <c r="D2">
        <v>20000</v>
      </c>
      <c r="E2" t="s">
        <v>220</v>
      </c>
      <c r="F2" t="s">
        <v>225</v>
      </c>
      <c r="G2" t="s">
        <v>229</v>
      </c>
      <c r="H2" s="33">
        <v>43831</v>
      </c>
      <c r="I2" s="33">
        <v>39448</v>
      </c>
      <c r="J2">
        <v>12</v>
      </c>
      <c r="K2">
        <v>31</v>
      </c>
      <c r="L2">
        <v>99</v>
      </c>
      <c r="M2">
        <v>4</v>
      </c>
      <c r="N2" t="s">
        <v>231</v>
      </c>
      <c r="O2">
        <v>40</v>
      </c>
      <c r="P2" s="34" t="s">
        <v>235</v>
      </c>
      <c r="Q2">
        <v>1111111111</v>
      </c>
      <c r="R2" t="s">
        <v>236</v>
      </c>
      <c r="S2" t="s">
        <v>241</v>
      </c>
      <c r="T2">
        <v>100</v>
      </c>
      <c r="U2">
        <v>30</v>
      </c>
      <c r="V2">
        <v>1.5</v>
      </c>
      <c r="W2">
        <v>123456</v>
      </c>
      <c r="X2" t="s">
        <v>244</v>
      </c>
      <c r="Y2" t="s">
        <v>249</v>
      </c>
      <c r="Z2" t="s">
        <v>253</v>
      </c>
      <c r="AA2" t="s">
        <v>257</v>
      </c>
      <c r="AB2" s="33">
        <v>46023</v>
      </c>
      <c r="AC2">
        <v>100</v>
      </c>
      <c r="AD2">
        <v>10</v>
      </c>
    </row>
    <row r="3" spans="1:31">
      <c r="G3" t="s">
        <v>230</v>
      </c>
      <c r="N3" t="s">
        <v>232</v>
      </c>
      <c r="P3" s="34"/>
      <c r="R3" t="s">
        <v>237</v>
      </c>
      <c r="S3" t="s">
        <v>242</v>
      </c>
      <c r="X3" t="s">
        <v>245</v>
      </c>
      <c r="Y3" t="s">
        <v>250</v>
      </c>
      <c r="Z3" t="s">
        <v>254</v>
      </c>
      <c r="AA3" t="s">
        <v>258</v>
      </c>
    </row>
    <row r="4" spans="1:31">
      <c r="N4" t="s">
        <v>233</v>
      </c>
      <c r="P4" s="34"/>
      <c r="R4" t="s">
        <v>238</v>
      </c>
      <c r="S4" t="s">
        <v>243</v>
      </c>
      <c r="X4" t="s">
        <v>246</v>
      </c>
      <c r="Y4" t="s">
        <v>251</v>
      </c>
      <c r="Z4" t="s">
        <v>255</v>
      </c>
      <c r="AA4" t="s">
        <v>259</v>
      </c>
    </row>
    <row r="5" spans="1:31">
      <c r="N5" t="s">
        <v>234</v>
      </c>
      <c r="P5" s="34"/>
      <c r="R5" t="s">
        <v>239</v>
      </c>
      <c r="X5" t="s">
        <v>247</v>
      </c>
      <c r="Y5" t="s">
        <v>252</v>
      </c>
      <c r="Z5" t="s">
        <v>256</v>
      </c>
      <c r="AA5" t="s">
        <v>260</v>
      </c>
    </row>
    <row r="6" spans="1:31">
      <c r="P6" s="34"/>
      <c r="R6" t="s">
        <v>240</v>
      </c>
      <c r="X6" t="s">
        <v>248</v>
      </c>
    </row>
    <row r="7" spans="1:31">
      <c r="P7" s="34"/>
    </row>
    <row r="8" spans="1:31">
      <c r="P8" s="34"/>
    </row>
    <row r="9" spans="1:31">
      <c r="P9" s="34"/>
    </row>
    <row r="10" spans="1:31">
      <c r="P10" s="34"/>
    </row>
    <row r="11" spans="1:31">
      <c r="P11" s="34"/>
    </row>
    <row r="12" spans="1:31">
      <c r="P12" s="34"/>
    </row>
    <row r="13" spans="1:31">
      <c r="P13" s="34"/>
    </row>
    <row r="14" spans="1:31">
      <c r="P14" s="34"/>
    </row>
    <row r="15" spans="1:31">
      <c r="P15" s="34"/>
    </row>
    <row r="16" spans="1:31">
      <c r="P16" s="34"/>
    </row>
    <row r="17" spans="4:16">
      <c r="P17" s="34"/>
    </row>
    <row r="18" spans="4:16">
      <c r="P18" s="34"/>
    </row>
    <row r="19" spans="4:16" ht="16">
      <c r="D19" s="27" t="s">
        <v>220</v>
      </c>
      <c r="E19" t="s">
        <v>221</v>
      </c>
      <c r="F19" t="s">
        <v>222</v>
      </c>
      <c r="G19" t="s">
        <v>223</v>
      </c>
      <c r="H19" t="s">
        <v>224</v>
      </c>
    </row>
    <row r="20" spans="4:16" ht="16">
      <c r="D20" s="27" t="s">
        <v>225</v>
      </c>
      <c r="E20" t="s">
        <v>226</v>
      </c>
      <c r="F20" t="s">
        <v>227</v>
      </c>
      <c r="G20" t="s">
        <v>228</v>
      </c>
    </row>
  </sheetData>
  <dataValidations count="31">
    <dataValidation type="textLength" operator="equal" allowBlank="1" showInputMessage="1" showErrorMessage="1" sqref="A3:A14 W2:W18" xr:uid="{6B0BF9C7-CC6F-48A1-8588-E527F2E4D66D}">
      <formula1>6</formula1>
    </dataValidation>
    <dataValidation type="textLength" allowBlank="1" showInputMessage="1" showErrorMessage="1" sqref="B2:B18" xr:uid="{4006956C-66FB-4072-BD0D-CA418C1E3BC2}">
      <formula1>3</formula1>
      <formula2>70</formula2>
    </dataValidation>
    <dataValidation type="whole" allowBlank="1" showInputMessage="1" showErrorMessage="1" error="AGR LIMIT" sqref="C2:C18" xr:uid="{A90F00F1-40F5-4D36-8AA2-37F56B6053EA}">
      <formula1>18</formula1>
      <formula2>60</formula2>
    </dataValidation>
    <dataValidation type="decimal" allowBlank="1" showInputMessage="1" showErrorMessage="1" errorTitle="SALARY LIMIT" sqref="D2:D18" xr:uid="{546BBB2C-DA14-49C1-BF90-BFFEDEF3105C}">
      <formula1>15000</formula1>
      <formula2>150000</formula2>
    </dataValidation>
    <dataValidation type="list" allowBlank="1" showInputMessage="1" showErrorMessage="1" sqref="E2:E18" xr:uid="{EC324F9B-DAAE-4E0F-BB81-A1DE49CE51A1}">
      <formula1>$D$19:$H$19</formula1>
    </dataValidation>
    <dataValidation type="textLength" operator="equal" allowBlank="1" showInputMessage="1" showErrorMessage="1" errorTitle="PLEASE RE ENTER" error="THE VALUE MUST CONTAIN 6 CHARATHER_x000a_" sqref="A2" xr:uid="{AEB19B7F-D07B-4B21-88AF-837E298210DB}">
      <formula1>6</formula1>
    </dataValidation>
    <dataValidation type="list" allowBlank="1" showInputMessage="1" showErrorMessage="1" errorTitle="ERROR DESAGINATION" sqref="D20:G20" xr:uid="{2D84795E-A20D-4F5B-B689-8A5671224AB0}">
      <formula1>$D$20:$G$20</formula1>
    </dataValidation>
    <dataValidation type="list" allowBlank="1" showInputMessage="1" showErrorMessage="1" sqref="F2:F18" xr:uid="{A7CFCFA3-BFC1-4228-9AB6-C345881F68C1}">
      <formula1>$D$20:$G$20</formula1>
    </dataValidation>
    <dataValidation type="list" allowBlank="1" showInputMessage="1" showErrorMessage="1" sqref="G2:G18" xr:uid="{BD04E5E4-18AA-419D-BA09-939F9BD3218F}">
      <formula1>"MALE, FEMALE"</formula1>
    </dataValidation>
    <dataValidation type="date" operator="greaterThanOrEqual" allowBlank="1" showInputMessage="1" showErrorMessage="1" sqref="H2:H18" xr:uid="{9179D324-E416-49B6-BF53-4403D912B1C8}">
      <formula1>43831</formula1>
    </dataValidation>
    <dataValidation type="date" allowBlank="1" showInputMessage="1" showErrorMessage="1" sqref="I2:I18" xr:uid="{D04413BE-48EA-4DFF-923A-F583258AE22E}">
      <formula1>23743</formula1>
      <formula2>39813</formula2>
    </dataValidation>
    <dataValidation type="decimal" allowBlank="1" showInputMessage="1" showErrorMessage="1" sqref="J2:J18" xr:uid="{46B57CDB-BBA4-42D6-945E-CCC53B67822D}">
      <formula1>1</formula1>
      <formula2>12</formula2>
    </dataValidation>
    <dataValidation type="whole" allowBlank="1" showInputMessage="1" showErrorMessage="1" sqref="K2:K18" xr:uid="{AE68DD50-B3E0-449F-9CE0-7C8CC760BD6D}">
      <formula1>1</formula1>
      <formula2>31</formula2>
    </dataValidation>
    <dataValidation type="decimal" allowBlank="1" showInputMessage="1" showErrorMessage="1" sqref="L2:L18" xr:uid="{C1302936-A3B1-41E9-AC65-A2AB896BA97D}">
      <formula1>0</formula1>
      <formula2>100</formula2>
    </dataValidation>
    <dataValidation type="decimal" allowBlank="1" showInputMessage="1" showErrorMessage="1" sqref="M2:M18" xr:uid="{64A25842-B2D5-4F73-B910-10A0B9EF3396}">
      <formula1>1</formula1>
      <formula2>5</formula2>
    </dataValidation>
    <dataValidation type="list" allowBlank="1" showInputMessage="1" showErrorMessage="1" sqref="N2:N18" xr:uid="{92109EFC-D6A3-46E5-AA88-2200302E8121}">
      <formula1>"ACTIVE , ON LEAVE , RESIGNED , TERMINATED"</formula1>
    </dataValidation>
    <dataValidation type="whole" allowBlank="1" showInputMessage="1" showErrorMessage="1" sqref="O2:O18" xr:uid="{B7F0DCCF-B773-4F4A-BF6B-9FE573404086}">
      <formula1>0</formula1>
      <formula2>40</formula2>
    </dataValidation>
    <dataValidation type="custom" allowBlank="1" showInputMessage="1" showErrorMessage="1" sqref="P2:P18" xr:uid="{A816EE81-7B9F-43C4-9D6C-99F9D74D0F4F}">
      <formula1>AND(ISNUMBER(SEARCH("@",P2)),ISNUMBER(SEARCH("gmail.com",P2)),ISERROR(SEARCH(" ",P2)))</formula1>
    </dataValidation>
    <dataValidation type="textLength" operator="equal" allowBlank="1" showInputMessage="1" showErrorMessage="1" sqref="Q2:Q18" xr:uid="{B685BAF3-3817-463E-A15D-65D7F084B4B8}">
      <formula1>10</formula1>
    </dataValidation>
    <dataValidation type="list" allowBlank="1" showInputMessage="1" showErrorMessage="1" sqref="R2:R18" xr:uid="{E629F12D-5F53-4261-9404-83830CC30B5F}">
      <formula1>"Kochi, Calicut, Kannur, Trivandrum, Chennai"</formula1>
    </dataValidation>
    <dataValidation type="list" allowBlank="1" showInputMessage="1" showErrorMessage="1" sqref="S2:S18" xr:uid="{A4A9C256-6737-486B-8118-B58B501663FF}">
      <formula1>"Office, Remote, Hybrid"</formula1>
    </dataValidation>
    <dataValidation type="whole" allowBlank="1" showInputMessage="1" showErrorMessage="1" sqref="T2:T18" xr:uid="{7B45C0C3-10F1-477B-80BD-C6F7C64082E0}">
      <formula1>0</formula1>
      <formula2>100</formula2>
    </dataValidation>
    <dataValidation type="whole" allowBlank="1" showInputMessage="1" showErrorMessage="1" sqref="U2:U18" xr:uid="{0B68DCF3-CAE1-4819-8C60-64D6C4F8BE11}">
      <formula1>0</formula1>
      <formula2>30</formula2>
    </dataValidation>
    <dataValidation type="decimal" allowBlank="1" showInputMessage="1" showErrorMessage="1" sqref="V2:V18" xr:uid="{E36BD84C-800A-4D2B-91F4-4355B2ED631E}">
      <formula1>0</formula1>
      <formula2>50</formula2>
    </dataValidation>
    <dataValidation type="list" allowBlank="1" showInputMessage="1" showErrorMessage="1" sqref="X2:X18" xr:uid="{271DCA60-05CF-4706-AEBD-1856AAB94BB7}">
      <formula1>"HR01, IT01, FIN01, SAL01, MKT01"</formula1>
    </dataValidation>
    <dataValidation type="list" allowBlank="1" showInputMessage="1" showErrorMessage="1" sqref="Y2:Y18" xr:uid="{8750C479-BA68-42C7-AACD-CAA5E7FE3495}">
      <formula1>"Priya, Rahul, Anil, Sneha"</formula1>
    </dataValidation>
    <dataValidation type="list" allowBlank="1" showInputMessage="1" showErrorMessage="1" sqref="Z2:Z18" xr:uid="{11E03295-0D43-4CFD-B1D3-953DDF840181}">
      <formula1>"Not Started, In Progress, Completed, On Hold"</formula1>
    </dataValidation>
    <dataValidation type="list" allowBlank="1" showInputMessage="1" showErrorMessage="1" sqref="AA2:AA18" xr:uid="{862D9812-33CE-44D5-9CDD-DBEC230DCCFD}">
      <formula1>"Low, Medium, High, Critical"</formula1>
    </dataValidation>
    <dataValidation type="date" operator="equal" allowBlank="1" showInputMessage="1" showErrorMessage="1" sqref="AB2:AB18" xr:uid="{DF192E42-E68A-496E-84CF-C3F3CD526BAE}">
      <formula1>46023</formula1>
    </dataValidation>
    <dataValidation type="whole" allowBlank="1" showInputMessage="1" showErrorMessage="1" sqref="AC2:AC18" xr:uid="{5A2E3CC2-C323-456F-9280-755F4F4951B4}">
      <formula1>10</formula1>
      <formula2>100</formula2>
    </dataValidation>
    <dataValidation type="decimal" allowBlank="1" showInputMessage="1" showErrorMessage="1" sqref="AD2:AD18" xr:uid="{1E49765C-4DFB-4408-9DA1-099301E8B2FB}">
      <formula1>1</formula1>
      <formula2>10</formula2>
    </dataValidation>
  </dataValidations>
  <hyperlinks>
    <hyperlink ref="P2" r:id="rId1" xr:uid="{14A2E0C1-6C9A-4165-B179-0402223993E3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20A1-96D7-4F5A-937C-E2142812ABE1}">
  <dimension ref="A1:C277"/>
  <sheetViews>
    <sheetView showGridLines="0" topLeftCell="A17" zoomScale="85" zoomScaleNormal="85" workbookViewId="0">
      <selection activeCell="A36" sqref="A36"/>
    </sheetView>
  </sheetViews>
  <sheetFormatPr defaultRowHeight="14.5"/>
  <cols>
    <col min="1" max="1" width="27.54296875" customWidth="1"/>
    <col min="2" max="2" width="39.08984375" customWidth="1"/>
    <col min="3" max="3" width="25.81640625" customWidth="1"/>
  </cols>
  <sheetData>
    <row r="1" spans="1:3" ht="31">
      <c r="A1" s="3" t="s">
        <v>70</v>
      </c>
    </row>
    <row r="3" spans="1:3" ht="17.5">
      <c r="A3" s="4" t="s">
        <v>71</v>
      </c>
    </row>
    <row r="5" spans="1:3">
      <c r="A5" s="5" t="s">
        <v>72</v>
      </c>
    </row>
    <row r="7" spans="1:3">
      <c r="A7" s="5" t="s">
        <v>73</v>
      </c>
    </row>
    <row r="11" spans="1:3" ht="23.5">
      <c r="A11" s="6" t="s">
        <v>74</v>
      </c>
      <c r="B11" s="7"/>
      <c r="C11" s="7"/>
    </row>
    <row r="12" spans="1:3">
      <c r="A12" s="7"/>
      <c r="B12" s="7"/>
      <c r="C12" s="7"/>
    </row>
    <row r="13" spans="1:3">
      <c r="A13" s="8" t="s">
        <v>75</v>
      </c>
      <c r="B13" s="8" t="s">
        <v>76</v>
      </c>
      <c r="C13" s="8" t="s">
        <v>77</v>
      </c>
    </row>
    <row r="14" spans="1:3">
      <c r="A14" s="8" t="s">
        <v>78</v>
      </c>
      <c r="B14" s="9" t="s">
        <v>79</v>
      </c>
      <c r="C14" s="9" t="s">
        <v>80</v>
      </c>
    </row>
    <row r="15" spans="1:3">
      <c r="A15" s="8" t="s">
        <v>11</v>
      </c>
      <c r="B15" s="9" t="s">
        <v>81</v>
      </c>
      <c r="C15" s="9" t="s">
        <v>82</v>
      </c>
    </row>
    <row r="16" spans="1:3">
      <c r="A16" s="8" t="s">
        <v>14</v>
      </c>
      <c r="B16" s="9" t="s">
        <v>83</v>
      </c>
      <c r="C16" s="9" t="s">
        <v>84</v>
      </c>
    </row>
    <row r="17" spans="1:3">
      <c r="A17" s="8" t="s">
        <v>17</v>
      </c>
      <c r="B17" s="9" t="s">
        <v>85</v>
      </c>
      <c r="C17" s="9" t="s">
        <v>86</v>
      </c>
    </row>
    <row r="18" spans="1:3">
      <c r="A18" s="8" t="s">
        <v>24</v>
      </c>
      <c r="B18" s="9" t="s">
        <v>87</v>
      </c>
      <c r="C18" s="9" t="s">
        <v>88</v>
      </c>
    </row>
    <row r="19" spans="1:3">
      <c r="A19" s="8" t="s">
        <v>89</v>
      </c>
      <c r="B19" s="9" t="s">
        <v>90</v>
      </c>
      <c r="C19" s="9" t="s">
        <v>91</v>
      </c>
    </row>
    <row r="20" spans="1:3">
      <c r="A20" s="8" t="s">
        <v>8</v>
      </c>
      <c r="B20" s="9" t="s">
        <v>92</v>
      </c>
      <c r="C20" s="9" t="s">
        <v>93</v>
      </c>
    </row>
    <row r="21" spans="1:3">
      <c r="A21" s="8" t="s">
        <v>41</v>
      </c>
      <c r="B21" s="9" t="s">
        <v>94</v>
      </c>
      <c r="C21" s="9" t="s">
        <v>95</v>
      </c>
    </row>
    <row r="22" spans="1:3">
      <c r="A22" s="7"/>
      <c r="B22" s="7"/>
      <c r="C22" s="7"/>
    </row>
    <row r="23" spans="1:3">
      <c r="A23" s="7"/>
      <c r="B23" s="7"/>
      <c r="C23" s="7"/>
    </row>
    <row r="24" spans="1:3" ht="23.5">
      <c r="A24" s="10" t="s">
        <v>96</v>
      </c>
      <c r="B24" s="7"/>
      <c r="C24" s="7"/>
    </row>
    <row r="25" spans="1:3">
      <c r="A25" s="7"/>
      <c r="B25" s="7"/>
      <c r="C25" s="7"/>
    </row>
    <row r="26" spans="1:3">
      <c r="A26" s="8" t="s">
        <v>97</v>
      </c>
      <c r="B26" s="8" t="s">
        <v>98</v>
      </c>
      <c r="C26" s="7"/>
    </row>
    <row r="27" spans="1:3">
      <c r="A27" s="9" t="s">
        <v>99</v>
      </c>
      <c r="B27" s="9" t="s">
        <v>100</v>
      </c>
      <c r="C27" s="7"/>
    </row>
    <row r="28" spans="1:3">
      <c r="A28" s="9" t="s">
        <v>101</v>
      </c>
      <c r="B28" s="9" t="s">
        <v>102</v>
      </c>
      <c r="C28" s="7"/>
    </row>
    <row r="29" spans="1:3">
      <c r="A29" s="9" t="s">
        <v>103</v>
      </c>
      <c r="B29" s="9" t="s">
        <v>104</v>
      </c>
      <c r="C29" s="7"/>
    </row>
    <row r="30" spans="1:3">
      <c r="A30" s="9" t="s">
        <v>105</v>
      </c>
      <c r="B30" s="9" t="s">
        <v>106</v>
      </c>
      <c r="C30" s="7"/>
    </row>
    <row r="31" spans="1:3">
      <c r="A31" s="9" t="s">
        <v>107</v>
      </c>
      <c r="B31" s="9" t="s">
        <v>108</v>
      </c>
      <c r="C31" s="7"/>
    </row>
    <row r="32" spans="1:3">
      <c r="A32" s="9" t="s">
        <v>109</v>
      </c>
      <c r="B32" s="9" t="s">
        <v>110</v>
      </c>
      <c r="C32" s="7"/>
    </row>
    <row r="33" spans="1:3">
      <c r="A33" s="9" t="s">
        <v>111</v>
      </c>
      <c r="B33" s="9" t="s">
        <v>112</v>
      </c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 ht="23.5">
      <c r="A38" s="10" t="s">
        <v>114</v>
      </c>
      <c r="B38" s="7"/>
      <c r="C38" s="7"/>
    </row>
    <row r="39" spans="1:3">
      <c r="A39" s="7"/>
      <c r="B39" s="7"/>
      <c r="C39" s="7"/>
    </row>
    <row r="40" spans="1:3">
      <c r="A40" s="14" t="s">
        <v>115</v>
      </c>
      <c r="B40" s="7"/>
      <c r="C40" s="7"/>
    </row>
    <row r="41" spans="1:3">
      <c r="A41" s="7"/>
      <c r="B41" s="7"/>
      <c r="C41" s="7"/>
    </row>
    <row r="42" spans="1:3">
      <c r="A42" s="11" t="s">
        <v>116</v>
      </c>
      <c r="B42" s="7"/>
      <c r="C42" s="7"/>
    </row>
    <row r="43" spans="1:3">
      <c r="A43" s="12" t="s">
        <v>117</v>
      </c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 ht="23.5">
      <c r="A47" s="10" t="s">
        <v>118</v>
      </c>
      <c r="B47" s="7"/>
      <c r="C47" s="7"/>
    </row>
    <row r="48" spans="1:3">
      <c r="A48" s="7"/>
      <c r="B48" s="7"/>
      <c r="C48" s="7"/>
    </row>
    <row r="49" spans="1:3">
      <c r="A49" s="8" t="s">
        <v>119</v>
      </c>
      <c r="B49" s="8" t="s">
        <v>120</v>
      </c>
      <c r="C49" s="7"/>
    </row>
    <row r="50" spans="1:3">
      <c r="A50" s="8" t="s">
        <v>121</v>
      </c>
      <c r="B50" s="9" t="s">
        <v>122</v>
      </c>
      <c r="C50" s="7"/>
    </row>
    <row r="51" spans="1:3">
      <c r="A51" s="8" t="s">
        <v>123</v>
      </c>
      <c r="B51" s="9" t="s">
        <v>124</v>
      </c>
      <c r="C51" s="7"/>
    </row>
    <row r="52" spans="1:3">
      <c r="A52" s="8" t="s">
        <v>125</v>
      </c>
      <c r="B52" s="9" t="s">
        <v>126</v>
      </c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 ht="17.5">
      <c r="A55" s="13" t="s">
        <v>127</v>
      </c>
      <c r="B55" s="7"/>
      <c r="C55" s="7"/>
    </row>
    <row r="57" spans="1:3">
      <c r="A57" s="5" t="s">
        <v>128</v>
      </c>
    </row>
    <row r="58" spans="1:3">
      <c r="A58" s="5" t="s">
        <v>129</v>
      </c>
    </row>
    <row r="59" spans="1:3">
      <c r="A59" s="5" t="s">
        <v>130</v>
      </c>
    </row>
    <row r="60" spans="1:3">
      <c r="A60" s="5" t="s">
        <v>131</v>
      </c>
    </row>
    <row r="61" spans="1:3">
      <c r="A61" s="5" t="s">
        <v>132</v>
      </c>
    </row>
    <row r="62" spans="1:3">
      <c r="A62" s="5" t="s">
        <v>133</v>
      </c>
    </row>
    <row r="63" spans="1:3">
      <c r="A63" s="5" t="s">
        <v>134</v>
      </c>
    </row>
    <row r="64" spans="1:3">
      <c r="A64" s="5" t="s">
        <v>135</v>
      </c>
    </row>
    <row r="65" spans="1:1">
      <c r="A65" s="5" t="s">
        <v>136</v>
      </c>
    </row>
    <row r="68" spans="1:1" ht="31">
      <c r="A68" s="3" t="s">
        <v>137</v>
      </c>
    </row>
    <row r="70" spans="1:1" ht="17.5">
      <c r="A70" s="4" t="s">
        <v>138</v>
      </c>
    </row>
    <row r="72" spans="1:1">
      <c r="A72" s="5" t="s">
        <v>139</v>
      </c>
    </row>
    <row r="74" spans="1:1">
      <c r="A74" s="5" t="s">
        <v>140</v>
      </c>
    </row>
    <row r="75" spans="1:1">
      <c r="A75" s="16" t="s">
        <v>141</v>
      </c>
    </row>
    <row r="77" spans="1:1">
      <c r="A77" t="s">
        <v>142</v>
      </c>
    </row>
    <row r="78" spans="1:1">
      <c r="A78" s="17"/>
    </row>
    <row r="79" spans="1:1">
      <c r="A79" s="18" t="s">
        <v>143</v>
      </c>
    </row>
    <row r="80" spans="1:1">
      <c r="A80" s="17"/>
    </row>
    <row r="81" spans="1:2">
      <c r="A81" s="18" t="s">
        <v>144</v>
      </c>
    </row>
    <row r="85" spans="1:2" ht="23.5">
      <c r="A85" s="19" t="s">
        <v>145</v>
      </c>
    </row>
    <row r="87" spans="1:2">
      <c r="A87" s="8" t="s">
        <v>146</v>
      </c>
      <c r="B87" s="8" t="s">
        <v>147</v>
      </c>
    </row>
    <row r="88" spans="1:2">
      <c r="A88" s="15" t="s">
        <v>148</v>
      </c>
      <c r="B88" s="22" t="b">
        <f>A2&gt;0</f>
        <v>0</v>
      </c>
    </row>
    <row r="89" spans="1:2">
      <c r="A89" s="15" t="s">
        <v>149</v>
      </c>
      <c r="B89" s="22" t="b">
        <f>A2&gt;=18</f>
        <v>0</v>
      </c>
    </row>
    <row r="90" spans="1:2">
      <c r="A90" s="15" t="s">
        <v>150</v>
      </c>
      <c r="B90" s="22" t="b">
        <f>A2&lt;100</f>
        <v>1</v>
      </c>
    </row>
    <row r="91" spans="1:2">
      <c r="A91" s="15" t="s">
        <v>151</v>
      </c>
      <c r="B91" s="22" t="b">
        <f>A2&lt;&gt;""</f>
        <v>0</v>
      </c>
    </row>
    <row r="92" spans="1:2">
      <c r="A92" s="15" t="s">
        <v>152</v>
      </c>
      <c r="B92" s="22" t="b">
        <f>A2="Yes"</f>
        <v>0</v>
      </c>
    </row>
    <row r="93" spans="1:2">
      <c r="A93" s="15" t="s">
        <v>153</v>
      </c>
      <c r="B93" s="22" t="b">
        <f>A2="Active"</f>
        <v>0</v>
      </c>
    </row>
    <row r="96" spans="1:2" ht="23.5">
      <c r="A96" s="19" t="s">
        <v>154</v>
      </c>
    </row>
    <row r="98" spans="1:1">
      <c r="A98" t="s">
        <v>155</v>
      </c>
    </row>
    <row r="100" spans="1:1" ht="17.5">
      <c r="A100" s="4" t="s">
        <v>156</v>
      </c>
    </row>
    <row r="102" spans="1:1">
      <c r="A102" s="21" t="b">
        <f>AND(A2&gt;=18,A2&lt;=60)</f>
        <v>0</v>
      </c>
    </row>
    <row r="104" spans="1:1">
      <c r="A104" t="s">
        <v>157</v>
      </c>
    </row>
    <row r="106" spans="1:1" ht="17.5">
      <c r="A106" s="4" t="s">
        <v>158</v>
      </c>
    </row>
    <row r="108" spans="1:1">
      <c r="A108" s="21" t="b">
        <f>AND(A2&gt;=15000,A2&lt;=100000)</f>
        <v>0</v>
      </c>
    </row>
    <row r="112" spans="1:1" ht="23.5">
      <c r="A112" s="19" t="s">
        <v>159</v>
      </c>
    </row>
    <row r="114" spans="1:1">
      <c r="A114" t="s">
        <v>160</v>
      </c>
    </row>
    <row r="116" spans="1:1" ht="17.5">
      <c r="A116" s="4" t="s">
        <v>161</v>
      </c>
    </row>
    <row r="118" spans="1:1">
      <c r="A118" s="21" t="b">
        <f>OR(A2="HR",A2="IT")</f>
        <v>0</v>
      </c>
    </row>
    <row r="120" spans="1:1" ht="17.5">
      <c r="A120" s="4" t="s">
        <v>162</v>
      </c>
    </row>
    <row r="122" spans="1:1">
      <c r="A122" s="21" t="b">
        <f>OR(A2="Active",A2="On Leave")</f>
        <v>0</v>
      </c>
    </row>
    <row r="126" spans="1:1" ht="23.5">
      <c r="A126" s="19" t="s">
        <v>163</v>
      </c>
    </row>
    <row r="128" spans="1:1" ht="17.5">
      <c r="A128" s="4" t="s">
        <v>164</v>
      </c>
    </row>
    <row r="130" spans="1:1">
      <c r="A130" s="21" t="b">
        <f>LEFT(A2,3)="EMP"</f>
        <v>0</v>
      </c>
    </row>
    <row r="132" spans="1:1" ht="17.5">
      <c r="A132" s="4" t="s">
        <v>165</v>
      </c>
    </row>
    <row r="134" spans="1:1">
      <c r="A134" s="21" t="b">
        <f>RIGHT(A2,3)="001"</f>
        <v>0</v>
      </c>
    </row>
    <row r="136" spans="1:1" ht="17.5">
      <c r="A136" s="4" t="s">
        <v>166</v>
      </c>
    </row>
    <row r="138" spans="1:1">
      <c r="A138" s="21" t="b">
        <f>ISNUMBER(SEARCH("India",A2))</f>
        <v>0</v>
      </c>
    </row>
    <row r="142" spans="1:1" ht="23.5">
      <c r="A142" s="19" t="s">
        <v>167</v>
      </c>
    </row>
    <row r="144" spans="1:1" ht="17.5">
      <c r="A144" s="4" t="s">
        <v>55</v>
      </c>
    </row>
    <row r="146" spans="1:1">
      <c r="A146" s="21" t="b">
        <f>LEN(A2)=6</f>
        <v>0</v>
      </c>
    </row>
    <row r="148" spans="1:1" ht="17.5">
      <c r="A148" s="4" t="s">
        <v>168</v>
      </c>
    </row>
    <row r="150" spans="1:1">
      <c r="A150" s="21" t="b">
        <f>LEN(A2)&lt;=20</f>
        <v>1</v>
      </c>
    </row>
    <row r="152" spans="1:1" ht="17.5">
      <c r="A152" s="4" t="s">
        <v>169</v>
      </c>
    </row>
    <row r="154" spans="1:1">
      <c r="A154" s="21" t="b">
        <f>LEN(A2)&gt;=5</f>
        <v>0</v>
      </c>
    </row>
    <row r="158" spans="1:1" ht="23.5">
      <c r="A158" s="19" t="s">
        <v>170</v>
      </c>
    </row>
    <row r="160" spans="1:1">
      <c r="A160" t="s">
        <v>171</v>
      </c>
    </row>
    <row r="162" spans="1:1">
      <c r="A162" s="21" t="b">
        <f>COUNTIF($A$2:$A$100,A2)=1</f>
        <v>0</v>
      </c>
    </row>
    <row r="164" spans="1:1">
      <c r="A164" t="s">
        <v>172</v>
      </c>
    </row>
    <row r="168" spans="1:1" ht="23.5">
      <c r="A168" s="19" t="s">
        <v>173</v>
      </c>
    </row>
    <row r="170" spans="1:1">
      <c r="A170" s="21" t="b">
        <f>A2&lt;&gt;""</f>
        <v>0</v>
      </c>
    </row>
    <row r="172" spans="1:1">
      <c r="A172" t="s">
        <v>174</v>
      </c>
    </row>
    <row r="173" spans="1:1">
      <c r="A173" s="17"/>
    </row>
    <row r="174" spans="1:1">
      <c r="A174" s="17" t="s">
        <v>175</v>
      </c>
    </row>
    <row r="175" spans="1:1">
      <c r="A175" s="17"/>
    </row>
    <row r="176" spans="1:1">
      <c r="A176" s="17" t="s">
        <v>176</v>
      </c>
    </row>
    <row r="177" spans="1:1">
      <c r="A177" s="17"/>
    </row>
    <row r="178" spans="1:1">
      <c r="A178" s="17" t="s">
        <v>177</v>
      </c>
    </row>
    <row r="179" spans="1:1">
      <c r="A179" s="17"/>
    </row>
    <row r="180" spans="1:1">
      <c r="A180" s="17" t="s">
        <v>178</v>
      </c>
    </row>
    <row r="184" spans="1:1" ht="23.5">
      <c r="A184" s="19" t="s">
        <v>179</v>
      </c>
    </row>
    <row r="186" spans="1:1" ht="17.5">
      <c r="A186" s="4" t="s">
        <v>180</v>
      </c>
    </row>
    <row r="188" spans="1:1">
      <c r="A188" s="21" t="b">
        <f>ISNUMBER(A2)</f>
        <v>0</v>
      </c>
    </row>
    <row r="190" spans="1:1" ht="17.5">
      <c r="A190" s="4" t="s">
        <v>181</v>
      </c>
    </row>
    <row r="192" spans="1:1">
      <c r="A192" s="21" t="b">
        <f>ISTEXT(A2)</f>
        <v>0</v>
      </c>
    </row>
    <row r="196" spans="1:1" ht="23.5">
      <c r="A196" s="19" t="s">
        <v>182</v>
      </c>
    </row>
    <row r="198" spans="1:1" ht="17.5">
      <c r="A198" s="4" t="s">
        <v>183</v>
      </c>
    </row>
    <row r="200" spans="1:1">
      <c r="A200" s="21" t="b">
        <f ca="1">A2&gt;=TODAY()</f>
        <v>0</v>
      </c>
    </row>
    <row r="202" spans="1:1" ht="17.5">
      <c r="A202" s="4" t="s">
        <v>184</v>
      </c>
    </row>
    <row r="204" spans="1:1">
      <c r="A204" s="21" t="b">
        <f ca="1">A2&gt;TODAY()</f>
        <v>0</v>
      </c>
    </row>
    <row r="206" spans="1:1" ht="17.5">
      <c r="A206" s="4" t="s">
        <v>185</v>
      </c>
    </row>
    <row r="208" spans="1:1">
      <c r="A208" s="21" t="b">
        <f>WEEKDAY(A2,2)&lt;=5</f>
        <v>0</v>
      </c>
    </row>
    <row r="210" spans="1:1">
      <c r="A210" t="s">
        <v>186</v>
      </c>
    </row>
    <row r="214" spans="1:1" ht="23.5">
      <c r="A214" s="19" t="s">
        <v>187</v>
      </c>
    </row>
    <row r="216" spans="1:1">
      <c r="A216" t="s">
        <v>116</v>
      </c>
    </row>
    <row r="218" spans="1:1">
      <c r="A218" s="5" t="s">
        <v>188</v>
      </c>
    </row>
    <row r="220" spans="1:1">
      <c r="A220" s="21" t="b">
        <f>AND(A2&gt;=18,B2="Active")</f>
        <v>0</v>
      </c>
    </row>
    <row r="224" spans="1:1" ht="23.5">
      <c r="A224" s="19" t="s">
        <v>189</v>
      </c>
    </row>
    <row r="226" spans="1:2">
      <c r="A226" s="8" t="s">
        <v>41</v>
      </c>
      <c r="B226" s="8" t="s">
        <v>17</v>
      </c>
    </row>
    <row r="227" spans="1:2">
      <c r="A227" s="15" t="s">
        <v>190</v>
      </c>
      <c r="B227" s="15" t="s">
        <v>191</v>
      </c>
    </row>
    <row r="228" spans="1:2">
      <c r="A228" s="15" t="s">
        <v>192</v>
      </c>
      <c r="B228" s="15" t="s">
        <v>193</v>
      </c>
    </row>
    <row r="229" spans="1:2">
      <c r="A229" s="15" t="s">
        <v>194</v>
      </c>
      <c r="B229" s="15" t="s">
        <v>195</v>
      </c>
    </row>
    <row r="230" spans="1:2">
      <c r="A230" s="15" t="s">
        <v>196</v>
      </c>
      <c r="B230" s="15" t="s">
        <v>197</v>
      </c>
    </row>
    <row r="232" spans="1:2" ht="17.5">
      <c r="A232" s="4" t="s">
        <v>77</v>
      </c>
    </row>
    <row r="234" spans="1:2">
      <c r="A234" s="5" t="s">
        <v>198</v>
      </c>
    </row>
    <row r="235" spans="1:2">
      <c r="A235" t="s">
        <v>86</v>
      </c>
    </row>
    <row r="237" spans="1:2">
      <c r="A237" s="5" t="s">
        <v>199</v>
      </c>
    </row>
    <row r="239" spans="1:2">
      <c r="A239" s="21" t="b">
        <f>OR(A2="HR",A2="IT",A2="Finance")</f>
        <v>0</v>
      </c>
    </row>
    <row r="241" spans="1:1">
      <c r="A241" t="s">
        <v>200</v>
      </c>
    </row>
    <row r="245" spans="1:1" ht="23.5">
      <c r="A245" s="19" t="s">
        <v>201</v>
      </c>
    </row>
    <row r="246" spans="1:1">
      <c r="A246" s="17"/>
    </row>
    <row r="247" spans="1:1">
      <c r="A247" s="17" t="s">
        <v>202</v>
      </c>
    </row>
    <row r="248" spans="1:1">
      <c r="A248" s="17"/>
    </row>
    <row r="249" spans="1:1">
      <c r="A249" s="17" t="s">
        <v>203</v>
      </c>
    </row>
    <row r="250" spans="1:1">
      <c r="A250" s="17"/>
    </row>
    <row r="251" spans="1:1">
      <c r="A251" s="17" t="s">
        <v>204</v>
      </c>
    </row>
    <row r="252" spans="1:1">
      <c r="A252" s="17"/>
    </row>
    <row r="253" spans="1:1">
      <c r="A253" s="17" t="s">
        <v>205</v>
      </c>
    </row>
    <row r="254" spans="1:1">
      <c r="A254" s="17"/>
    </row>
    <row r="255" spans="1:1">
      <c r="A255" s="17" t="s">
        <v>206</v>
      </c>
    </row>
    <row r="256" spans="1:1">
      <c r="A256" s="17"/>
    </row>
    <row r="257" spans="1:2">
      <c r="A257" s="17" t="s">
        <v>207</v>
      </c>
    </row>
    <row r="258" spans="1:2">
      <c r="A258" s="17"/>
    </row>
    <row r="259" spans="1:2">
      <c r="A259" s="17" t="s">
        <v>208</v>
      </c>
    </row>
    <row r="260" spans="1:2">
      <c r="A260" s="17"/>
    </row>
    <row r="261" spans="1:2">
      <c r="A261" s="17" t="s">
        <v>209</v>
      </c>
    </row>
    <row r="262" spans="1:2">
      <c r="A262" s="17"/>
    </row>
    <row r="263" spans="1:2">
      <c r="A263" s="17" t="s">
        <v>210</v>
      </c>
    </row>
    <row r="265" spans="1:2" ht="17.5">
      <c r="A265" s="4" t="s">
        <v>211</v>
      </c>
    </row>
    <row r="267" spans="1:2">
      <c r="A267" s="1" t="s">
        <v>146</v>
      </c>
      <c r="B267" s="1" t="s">
        <v>147</v>
      </c>
    </row>
    <row r="268" spans="1:2">
      <c r="A268" s="2" t="s">
        <v>212</v>
      </c>
      <c r="B268" s="20" t="b">
        <f>A2&gt;0</f>
        <v>0</v>
      </c>
    </row>
    <row r="269" spans="1:2">
      <c r="A269" s="2" t="s">
        <v>12</v>
      </c>
      <c r="B269" s="20" t="b">
        <f>AND(A2&gt;=18,A2&lt;=60)</f>
        <v>0</v>
      </c>
    </row>
    <row r="270" spans="1:2">
      <c r="A270" s="2" t="s">
        <v>213</v>
      </c>
      <c r="B270" s="20" t="b">
        <f>A2&lt;&gt;""</f>
        <v>0</v>
      </c>
    </row>
    <row r="271" spans="1:2">
      <c r="A271" s="2" t="s">
        <v>164</v>
      </c>
      <c r="B271" s="20" t="b">
        <f>LEFT(A2,3)="EMP"</f>
        <v>0</v>
      </c>
    </row>
    <row r="272" spans="1:2">
      <c r="A272" s="2" t="s">
        <v>55</v>
      </c>
      <c r="B272" s="20" t="b">
        <f>LEN(A2)=6</f>
        <v>0</v>
      </c>
    </row>
    <row r="273" spans="1:2">
      <c r="A273" s="2" t="s">
        <v>214</v>
      </c>
      <c r="B273" s="20" t="b">
        <f>COUNTIF($A$2:$A$100,A2)=1</f>
        <v>0</v>
      </c>
    </row>
    <row r="274" spans="1:2">
      <c r="A274" s="2" t="s">
        <v>113</v>
      </c>
      <c r="B274" s="20" t="b">
        <f ca="1">A2&gt;TODAY()</f>
        <v>0</v>
      </c>
    </row>
    <row r="275" spans="1:2">
      <c r="A275" s="2" t="s">
        <v>215</v>
      </c>
      <c r="B275" s="20" t="b">
        <f>WEEKDAY(A2,2)&lt;=5</f>
        <v>0</v>
      </c>
    </row>
    <row r="276" spans="1:2">
      <c r="A276" s="2" t="s">
        <v>216</v>
      </c>
      <c r="B276" s="20" t="b">
        <f>ISNUMBER(A2)</f>
        <v>0</v>
      </c>
    </row>
    <row r="277" spans="1:2">
      <c r="A277" s="2" t="s">
        <v>217</v>
      </c>
      <c r="B277" s="20" t="b">
        <f>ISTEXT(A2)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Sheet1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Muhammed safwam</cp:lastModifiedBy>
  <dcterms:created xsi:type="dcterms:W3CDTF">2026-08-11T04:11:56Z</dcterms:created>
  <dcterms:modified xsi:type="dcterms:W3CDTF">2026-10-05T10:23:48Z</dcterms:modified>
</cp:coreProperties>
</file>