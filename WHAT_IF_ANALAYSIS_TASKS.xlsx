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A9F4B5E1762809/Desktop/DATA ANALYSIS/"/>
    </mc:Choice>
  </mc:AlternateContent>
  <xr:revisionPtr revIDLastSave="8" documentId="8_{49B6231E-5956-4D50-BCA7-2F05CCF70544}" xr6:coauthVersionLast="47" xr6:coauthVersionMax="47" xr10:uidLastSave="{D971A808-EFD8-47B6-93B2-0E3D86118DD6}"/>
  <bookViews>
    <workbookView xWindow="-110" yWindow="-110" windowWidth="19420" windowHeight="10300" activeTab="3" xr2:uid="{31207FFE-D462-47DE-814E-C565C705CB02}"/>
  </bookViews>
  <sheets>
    <sheet name="DATASET" sheetId="1" r:id="rId1"/>
    <sheet name="GOALSEEK" sheetId="2" r:id="rId2"/>
    <sheet name="DATA TABLE" sheetId="3" r:id="rId3"/>
    <sheet name="Sheet1" sheetId="5" r:id="rId4"/>
    <sheet name="SCENARIO MANAGER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2" i="1" l="1"/>
  <c r="N11" i="1"/>
  <c r="N10" i="1"/>
  <c r="K14" i="1"/>
  <c r="K13" i="1"/>
  <c r="K12" i="1"/>
  <c r="J14" i="1"/>
  <c r="I10" i="1"/>
  <c r="I14" i="1"/>
  <c r="I13" i="1"/>
  <c r="J13" i="1" s="1"/>
  <c r="I11" i="1"/>
  <c r="I12" i="1"/>
  <c r="H14" i="1"/>
  <c r="H13" i="1"/>
  <c r="H12" i="1"/>
  <c r="H11" i="1"/>
  <c r="H10" i="1"/>
  <c r="J10" i="1" s="1"/>
  <c r="K10" i="1" s="1"/>
  <c r="J11" i="1" l="1"/>
  <c r="K11" i="1" s="1"/>
  <c r="J12" i="1"/>
</calcChain>
</file>

<file path=xl/sharedStrings.xml><?xml version="1.0" encoding="utf-8"?>
<sst xmlns="http://schemas.openxmlformats.org/spreadsheetml/2006/main" count="76" uniqueCount="60">
  <si>
    <t>Product</t>
  </si>
  <si>
    <t>Selling Price (₹)</t>
  </si>
  <si>
    <t>Units Sold</t>
  </si>
  <si>
    <t>Cost per Unit (₹)</t>
  </si>
  <si>
    <t>Fixed Cost (₹)</t>
  </si>
  <si>
    <t>Laptop</t>
  </si>
  <si>
    <t>Monitor</t>
  </si>
  <si>
    <t>Keyboard</t>
  </si>
  <si>
    <t>Mouse</t>
  </si>
  <si>
    <t>Headset</t>
  </si>
  <si>
    <t>Calculation</t>
  </si>
  <si>
    <t>Revenue</t>
  </si>
  <si>
    <t>Variable Cost</t>
  </si>
  <si>
    <t>Gross Profit</t>
  </si>
  <si>
    <t>Total Profit</t>
  </si>
  <si>
    <t>1. GOAL SEEK TASK</t>
  </si>
  <si>
    <t>Business Situation:</t>
  </si>
  <si>
    <r>
      <t xml:space="preserve">The management wants to achieve a </t>
    </r>
    <r>
      <rPr>
        <b/>
        <sz val="11"/>
        <color theme="1"/>
        <rFont val="Aptos Narrow"/>
        <family val="2"/>
        <scheme val="minor"/>
      </rPr>
      <t>total profit of ₹10,00,000</t>
    </r>
    <r>
      <rPr>
        <sz val="11"/>
        <color theme="1"/>
        <rFont val="Aptos Narrow"/>
        <family val="2"/>
        <scheme val="minor"/>
      </rPr>
      <t xml:space="preserve"> from the Laptop sales.</t>
    </r>
  </si>
  <si>
    <t>Task</t>
  </si>
  <si>
    <r>
      <t xml:space="preserve">Using </t>
    </r>
    <r>
      <rPr>
        <b/>
        <sz val="11"/>
        <color theme="1"/>
        <rFont val="Aptos Narrow"/>
        <family val="2"/>
        <scheme val="minor"/>
      </rPr>
      <t>Goal Seek</t>
    </r>
    <r>
      <rPr>
        <sz val="11"/>
        <color theme="1"/>
        <rFont val="Aptos Narrow"/>
        <family val="2"/>
        <scheme val="minor"/>
      </rPr>
      <t>, determine:</t>
    </r>
  </si>
  <si>
    <t>How many laptops must be sold to achieve a total profit of ₹10,00,000?</t>
  </si>
  <si>
    <t>Analyst Question</t>
  </si>
  <si>
    <t>How many additional laptops need to be sold compared with the current sales volume?</t>
  </si>
  <si>
    <t>2. DATA TABLE TASK</t>
  </si>
  <si>
    <r>
      <t xml:space="preserve">The sales manager wants to understand how changes in </t>
    </r>
    <r>
      <rPr>
        <b/>
        <sz val="11"/>
        <color theme="1"/>
        <rFont val="Aptos Narrow"/>
        <family val="2"/>
        <scheme val="minor"/>
      </rPr>
      <t>Laptop Selling Price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Units Sold</t>
    </r>
    <r>
      <rPr>
        <sz val="11"/>
        <color theme="1"/>
        <rFont val="Aptos Narrow"/>
        <family val="2"/>
        <scheme val="minor"/>
      </rPr>
      <t xml:space="preserve"> affect profit before deciding the sales strategy.</t>
    </r>
  </si>
  <si>
    <t>Selling Price Options</t>
  </si>
  <si>
    <t>Selling Price</t>
  </si>
  <si>
    <t>₹50,000</t>
  </si>
  <si>
    <t>₹52,500</t>
  </si>
  <si>
    <t>₹55,000</t>
  </si>
  <si>
    <t>₹57,500</t>
  </si>
  <si>
    <t>₹60,000</t>
  </si>
  <si>
    <t>Units Sold Options</t>
  </si>
  <si>
    <t>Total Profit for every combination of Selling Price and Units Sold.</t>
  </si>
  <si>
    <t>Analyst Questions</t>
  </si>
  <si>
    <t>1. Which combination produces the highest profit?</t>
  </si>
  <si>
    <t>2. What happens to profit when the selling price increases?</t>
  </si>
  <si>
    <t>3. What happens when units sold increase?</t>
  </si>
  <si>
    <r>
      <t xml:space="preserve">4. Identify a combination that generates approximately </t>
    </r>
    <r>
      <rPr>
        <b/>
        <sz val="11"/>
        <color theme="1"/>
        <rFont val="Aptos Narrow"/>
        <family val="2"/>
        <scheme val="minor"/>
      </rPr>
      <t>₹10 lakh profit</t>
    </r>
    <r>
      <rPr>
        <sz val="11"/>
        <color theme="1"/>
        <rFont val="Aptos Narrow"/>
        <family val="2"/>
        <scheme val="minor"/>
      </rPr>
      <t>.</t>
    </r>
  </si>
  <si>
    <t>3. SCENARIO MANAGER TASK</t>
  </si>
  <si>
    <t>Management is considering three different sales strategies for the next quarter.</t>
  </si>
  <si>
    <r>
      <t xml:space="preserve">Create the following scenarios by changing </t>
    </r>
    <r>
      <rPr>
        <b/>
        <sz val="11"/>
        <color theme="1"/>
        <rFont val="Aptos Narrow"/>
        <family val="2"/>
        <scheme val="minor"/>
      </rPr>
      <t>Laptop Selling Price and Units Sold</t>
    </r>
    <r>
      <rPr>
        <sz val="11"/>
        <color theme="1"/>
        <rFont val="Aptos Narrow"/>
        <family val="2"/>
        <scheme val="minor"/>
      </rPr>
      <t>.</t>
    </r>
  </si>
  <si>
    <t>Scenario</t>
  </si>
  <si>
    <t>Current Plan</t>
  </si>
  <si>
    <t>Conservative Plan</t>
  </si>
  <si>
    <t>₹52,000</t>
  </si>
  <si>
    <t>Growth Plan</t>
  </si>
  <si>
    <t>₹58,000</t>
  </si>
  <si>
    <r>
      <t xml:space="preserve">Using </t>
    </r>
    <r>
      <rPr>
        <b/>
        <sz val="11"/>
        <color theme="1"/>
        <rFont val="Aptos Narrow"/>
        <family val="2"/>
        <scheme val="minor"/>
      </rPr>
      <t>Scenario Manager</t>
    </r>
    <r>
      <rPr>
        <sz val="11"/>
        <color theme="1"/>
        <rFont val="Aptos Narrow"/>
        <family val="2"/>
        <scheme val="minor"/>
      </rPr>
      <t xml:space="preserve">, create all three scenarios and generate a </t>
    </r>
    <r>
      <rPr>
        <b/>
        <sz val="11"/>
        <color theme="1"/>
        <rFont val="Aptos Narrow"/>
        <family val="2"/>
        <scheme val="minor"/>
      </rPr>
      <t>Scenario Summary Report</t>
    </r>
    <r>
      <rPr>
        <sz val="11"/>
        <color theme="1"/>
        <rFont val="Aptos Narrow"/>
        <family val="2"/>
        <scheme val="minor"/>
      </rPr>
      <t xml:space="preserve"> showing:</t>
    </r>
  </si>
  <si>
    <t>How does the business outcome change under each scenario, and what are the key differences in revenue and profitability?</t>
  </si>
  <si>
    <t>DATASET</t>
  </si>
  <si>
    <t>OUTPUTS</t>
  </si>
  <si>
    <r>
      <t>Create a ONE</t>
    </r>
    <r>
      <rPr>
        <b/>
        <sz val="11"/>
        <color theme="1"/>
        <rFont val="Aptos Narrow"/>
        <family val="2"/>
        <scheme val="minor"/>
      </rPr>
      <t>-variable Data Table</t>
    </r>
    <r>
      <rPr>
        <sz val="11"/>
        <color theme="1"/>
        <rFont val="Aptos Narrow"/>
        <family val="2"/>
        <scheme val="minor"/>
      </rPr>
      <t>.</t>
    </r>
  </si>
  <si>
    <t>TASK 1</t>
  </si>
  <si>
    <t>TASK 2</t>
  </si>
  <si>
    <t>Create a TWO VARIABLE  Data Table showing:</t>
  </si>
  <si>
    <t>After generating the Scenario Summary,  explain:</t>
  </si>
  <si>
    <t xml:space="preserve">Formula </t>
  </si>
  <si>
    <t>GOAL SEEK</t>
  </si>
  <si>
    <t>TARGET 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</si>
</sst>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/>
    <xf numFmtId="0" fontId="0" fillId="0" borderId="11" xfId="0" applyBorder="1"/>
    <xf numFmtId="0" fontId="0" fillId="0" borderId="8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1" fillId="0" borderId="0" xfId="0" applyFont="1" applyBorder="1"/>
    <xf numFmtId="0" fontId="3" fillId="0" borderId="0" xfId="0" applyFont="1" applyBorder="1" applyAlignment="1">
      <alignment vertical="center"/>
    </xf>
    <xf numFmtId="0" fontId="0" fillId="0" borderId="0" xfId="0" applyBorder="1" applyAlignment="1">
      <alignment horizontal="left" vertical="center" indent="1"/>
    </xf>
    <xf numFmtId="0" fontId="1" fillId="0" borderId="0" xfId="0" applyFont="1" applyBorder="1" applyAlignment="1">
      <alignment horizontal="left" vertical="center" indent="1"/>
    </xf>
    <xf numFmtId="0" fontId="0" fillId="0" borderId="9" xfId="0" applyBorder="1"/>
    <xf numFmtId="0" fontId="0" fillId="0" borderId="12" xfId="0" applyBorder="1"/>
    <xf numFmtId="0" fontId="0" fillId="0" borderId="1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3" fontId="0" fillId="0" borderId="0" xfId="0" applyNumberFormat="1" applyBorder="1" applyAlignment="1">
      <alignment horizontal="right" vertical="center" wrapText="1"/>
    </xf>
    <xf numFmtId="0" fontId="0" fillId="0" borderId="0" xfId="0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3" fontId="0" fillId="0" borderId="6" xfId="0" applyNumberFormat="1" applyBorder="1" applyAlignment="1">
      <alignment vertical="center" wrapText="1"/>
    </xf>
    <xf numFmtId="3" fontId="0" fillId="0" borderId="0" xfId="0" applyNumberFormat="1"/>
    <xf numFmtId="0" fontId="0" fillId="3" borderId="0" xfId="0" applyFill="1"/>
    <xf numFmtId="0" fontId="2" fillId="4" borderId="0" xfId="0" applyFont="1" applyFill="1"/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numFmt numFmtId="3" formatCode="#,##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right" vertical="center" textRotation="0" wrapText="1" indent="0" justifyLastLine="0" shrinkToFit="0" readingOrder="0"/>
    </dxf>
    <dxf>
      <numFmt numFmtId="3" formatCode="#,##0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3" formatCode="#,##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D3F426-F9EF-4A02-927B-6F6DE82996CA}" name="Table1" displayName="Table1" ref="C9:G14" totalsRowShown="0" headerRowDxfId="14" dataDxfId="13" tableBorderDxfId="12">
  <autoFilter ref="C9:G14" xr:uid="{86D3F426-F9EF-4A02-927B-6F6DE82996CA}"/>
  <tableColumns count="5">
    <tableColumn id="1" xr3:uid="{4C13528D-CE88-48F4-8425-1F4C2402D08F}" name="Product" dataDxfId="11"/>
    <tableColumn id="2" xr3:uid="{5F6455AA-1CC9-424A-BF3E-F7923B67A6D7}" name="Selling Price (₹)" dataDxfId="10"/>
    <tableColumn id="3" xr3:uid="{B0F3CF21-5EAE-4012-9699-3B994C66E531}" name="Units Sold" dataDxfId="9"/>
    <tableColumn id="4" xr3:uid="{0BD5BDA3-6379-4CAB-86C4-59656E9EC25B}" name="Cost per Unit (₹)" dataDxfId="8"/>
    <tableColumn id="5" xr3:uid="{5AF09171-E093-48C4-8CDC-8F9F1C9A286D}" name="Fixed Cost (₹)" dataDxfId="7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BBA79A-7AF8-4DBA-907B-4172550052B8}" name="Table2" displayName="Table2" ref="M9:N14" totalsRowShown="0" headerRowDxfId="6" dataDxfId="4" headerRowBorderDxfId="5" tableBorderDxfId="3" totalsRowBorderDxfId="2">
  <autoFilter ref="M9:N14" xr:uid="{8DBBA79A-7AF8-4DBA-907B-4172550052B8}"/>
  <tableColumns count="2">
    <tableColumn id="1" xr3:uid="{B950479B-C1CC-4AC7-91FC-D5C2E4E7BB09}" name="Calculation" dataDxfId="1"/>
    <tableColumn id="2" xr3:uid="{D0532A73-9FED-40E2-8B6E-1DFE4C14ECBF}" name="Formula " dataDxfId="0"/>
  </tableColumns>
  <tableStyleInfo name="TableStyleMedium2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D52B8B-239F-4A0A-BF9D-516399F4F2F8}" name="Table4" displayName="Table4" ref="H9:K14" totalsRowShown="0">
  <autoFilter ref="H9:K14" xr:uid="{3BD52B8B-239F-4A0A-BF9D-516399F4F2F8}"/>
  <tableColumns count="4">
    <tableColumn id="1" xr3:uid="{38C3778F-56E6-4397-855D-1EB747335B22}" name="Revenue"/>
    <tableColumn id="2" xr3:uid="{E4CA4D10-D244-4697-9D30-F71951662DBC}" name="Variable Cost"/>
    <tableColumn id="3" xr3:uid="{863F52ED-8482-4479-BE28-610CA40C3469}" name="Gross Profit"/>
    <tableColumn id="4" xr3:uid="{BD1558AD-A893-4C2A-A944-853730F7028C}" name="Total 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6344-4426-4D80-8969-8C3E6A8614C7}">
  <dimension ref="C4:N20"/>
  <sheetViews>
    <sheetView showGridLines="0" topLeftCell="B6" workbookViewId="0">
      <selection activeCell="N14" sqref="N14"/>
    </sheetView>
  </sheetViews>
  <sheetFormatPr defaultRowHeight="14.5" x14ac:dyDescent="0.35"/>
  <cols>
    <col min="3" max="3" width="9.453125" customWidth="1"/>
    <col min="4" max="4" width="18.453125" customWidth="1"/>
    <col min="5" max="5" width="18.36328125" customWidth="1"/>
    <col min="6" max="6" width="16.1796875" customWidth="1"/>
    <col min="7" max="7" width="14.1796875" customWidth="1"/>
    <col min="8" max="8" width="10.453125" customWidth="1"/>
    <col min="9" max="9" width="11.81640625" bestFit="1" customWidth="1"/>
    <col min="10" max="10" width="8.90625" bestFit="1" customWidth="1"/>
    <col min="13" max="13" width="12.453125" customWidth="1"/>
    <col min="14" max="14" width="14.453125" customWidth="1"/>
  </cols>
  <sheetData>
    <row r="4" spans="3:14" ht="15" thickBot="1" x14ac:dyDescent="0.4"/>
    <row r="5" spans="3:14" ht="14.4" customHeight="1" x14ac:dyDescent="0.35">
      <c r="C5" s="39" t="s">
        <v>50</v>
      </c>
      <c r="D5" s="40"/>
      <c r="E5" s="40"/>
      <c r="F5" s="40"/>
      <c r="G5" s="41"/>
      <c r="M5" s="35" t="s">
        <v>51</v>
      </c>
      <c r="N5" s="36"/>
    </row>
    <row r="6" spans="3:14" ht="15" customHeight="1" thickBot="1" x14ac:dyDescent="0.4">
      <c r="C6" s="42"/>
      <c r="D6" s="43"/>
      <c r="E6" s="43"/>
      <c r="F6" s="43"/>
      <c r="G6" s="44"/>
      <c r="M6" s="37"/>
      <c r="N6" s="38"/>
    </row>
    <row r="9" spans="3:14" x14ac:dyDescent="0.35">
      <c r="C9" s="21" t="s">
        <v>0</v>
      </c>
      <c r="D9" s="23" t="s">
        <v>1</v>
      </c>
      <c r="E9" s="23" t="s">
        <v>2</v>
      </c>
      <c r="F9" s="23" t="s">
        <v>3</v>
      </c>
      <c r="G9" s="23" t="s">
        <v>4</v>
      </c>
      <c r="H9" t="s">
        <v>11</v>
      </c>
      <c r="I9" t="s">
        <v>12</v>
      </c>
      <c r="J9" t="s">
        <v>13</v>
      </c>
      <c r="K9" t="s">
        <v>14</v>
      </c>
      <c r="M9" s="4" t="s">
        <v>10</v>
      </c>
      <c r="N9" s="5" t="s">
        <v>57</v>
      </c>
    </row>
    <row r="10" spans="3:14" ht="26.4" customHeight="1" x14ac:dyDescent="0.35">
      <c r="C10" s="22" t="s">
        <v>5</v>
      </c>
      <c r="D10" s="24">
        <v>55000</v>
      </c>
      <c r="E10" s="25">
        <v>96.153846153846175</v>
      </c>
      <c r="F10" s="24">
        <v>42000</v>
      </c>
      <c r="G10" s="24">
        <v>250000</v>
      </c>
      <c r="H10">
        <f>Table1[[#This Row],[Selling Price (₹)]]*Table1[[#This Row],[Units Sold]]</f>
        <v>5288461.5384615399</v>
      </c>
      <c r="I10">
        <f>Table1[[#This Row],[Units Sold]]*Table1[[#This Row],[Cost per Unit (₹)]]</f>
        <v>4038461.5384615394</v>
      </c>
      <c r="J10" s="32">
        <f>Table4[[#This Row],[Revenue]]-Table4[[#This Row],[Variable Cost]]</f>
        <v>1250000.0000000005</v>
      </c>
      <c r="K10" s="32">
        <f>Table4[[#This Row],[Gross Profit]]-Table1[[#This Row],[Fixed Cost (₹)]]</f>
        <v>1000000.0000000005</v>
      </c>
      <c r="M10" s="6" t="s">
        <v>11</v>
      </c>
      <c r="N10">
        <f>Table1[[#This Row],[Selling Price (₹)]]*Table1[[#This Row],[Units Sold]]</f>
        <v>5288461.5384615399</v>
      </c>
    </row>
    <row r="11" spans="3:14" ht="28.75" customHeight="1" x14ac:dyDescent="0.35">
      <c r="C11" s="22" t="s">
        <v>6</v>
      </c>
      <c r="D11" s="24">
        <v>18000</v>
      </c>
      <c r="E11" s="25">
        <v>75</v>
      </c>
      <c r="F11" s="24">
        <v>13000</v>
      </c>
      <c r="G11" s="24">
        <v>150000</v>
      </c>
      <c r="H11">
        <f>Table1[[#This Row],[Selling Price (₹)]]*Table1[[#This Row],[Units Sold]]</f>
        <v>1350000</v>
      </c>
      <c r="I11">
        <f>Table1[[#This Row],[Units Sold]]*Table1[[#This Row],[Cost per Unit (₹)]]</f>
        <v>975000</v>
      </c>
      <c r="J11">
        <f>Table4[[#This Row],[Revenue]]-Table4[[#This Row],[Variable Cost]]</f>
        <v>375000</v>
      </c>
      <c r="K11" s="32">
        <f>Table4[[#This Row],[Gross Profit]]-Table1[[#This Row],[Fixed Cost (₹)]]</f>
        <v>225000</v>
      </c>
      <c r="M11" s="6" t="s">
        <v>12</v>
      </c>
      <c r="N11">
        <f>Table1[[#This Row],[Units Sold]]*Table1[[#This Row],[Cost per Unit (₹)]]</f>
        <v>975000</v>
      </c>
    </row>
    <row r="12" spans="3:14" ht="27.65" customHeight="1" x14ac:dyDescent="0.35">
      <c r="C12" s="22" t="s">
        <v>7</v>
      </c>
      <c r="D12" s="24">
        <v>2500</v>
      </c>
      <c r="E12" s="25">
        <v>200</v>
      </c>
      <c r="F12" s="24">
        <v>1500</v>
      </c>
      <c r="G12" s="24">
        <v>50000</v>
      </c>
      <c r="H12">
        <f>Table1[[#This Row],[Selling Price (₹)]]*Table1[[#This Row],[Units Sold]]</f>
        <v>500000</v>
      </c>
      <c r="I12">
        <f>Table1[[#This Row],[Units Sold]]*Table1[[#This Row],[Cost per Unit (₹)]]</f>
        <v>300000</v>
      </c>
      <c r="J12">
        <f>Table4[[#This Row],[Revenue]]-I13</f>
        <v>275000</v>
      </c>
      <c r="K12" s="32">
        <f>Table4[[#This Row],[Gross Profit]]-Table1[[#This Row],[Fixed Cost (₹)]]</f>
        <v>225000</v>
      </c>
      <c r="M12" s="6" t="s">
        <v>13</v>
      </c>
      <c r="N12" s="32">
        <f>Table4[[#This Row],[Revenue]]-Table4[[#This Row],[Variable Cost]]</f>
        <v>200000</v>
      </c>
    </row>
    <row r="13" spans="3:14" ht="33" customHeight="1" x14ac:dyDescent="0.35">
      <c r="C13" s="22" t="s">
        <v>8</v>
      </c>
      <c r="D13" s="24">
        <v>1500</v>
      </c>
      <c r="E13" s="25">
        <v>250</v>
      </c>
      <c r="F13" s="25">
        <v>900</v>
      </c>
      <c r="G13" s="24">
        <v>40000</v>
      </c>
      <c r="H13">
        <f>Table1[[#This Row],[Selling Price (₹)]]*Table1[[#This Row],[Units Sold]]</f>
        <v>375000</v>
      </c>
      <c r="I13">
        <f>Table1[[#This Row],[Units Sold]]*Table1[[#This Row],[Cost per Unit (₹)]]</f>
        <v>225000</v>
      </c>
      <c r="J13">
        <f>Table4[[#This Row],[Revenue]]-Table4[[#This Row],[Variable Cost]]</f>
        <v>150000</v>
      </c>
      <c r="K13" s="32">
        <f>Table4[[#This Row],[Gross Profit]]-Table1[[#This Row],[Fixed Cost (₹)]]</f>
        <v>110000</v>
      </c>
      <c r="M13" s="6" t="s">
        <v>14</v>
      </c>
      <c r="N13" s="32">
        <v>1000000</v>
      </c>
    </row>
    <row r="14" spans="3:14" x14ac:dyDescent="0.35">
      <c r="C14" s="22" t="s">
        <v>9</v>
      </c>
      <c r="D14" s="24">
        <v>3500</v>
      </c>
      <c r="E14" s="25">
        <v>120</v>
      </c>
      <c r="F14" s="24">
        <v>2200</v>
      </c>
      <c r="G14" s="24">
        <v>60000</v>
      </c>
      <c r="H14">
        <f>Table1[[#This Row],[Selling Price (₹)]]*Table1[[#This Row],[Units Sold]]</f>
        <v>420000</v>
      </c>
      <c r="I14">
        <f>Table1[[#This Row],[Units Sold]]*Table1[[#This Row],[Cost per Unit (₹)]]</f>
        <v>264000</v>
      </c>
      <c r="J14">
        <f>Table4[[#This Row],[Revenue]]-Table4[[#This Row],[Variable Cost]]</f>
        <v>156000</v>
      </c>
      <c r="K14" s="32">
        <f>Table4[[#This Row],[Gross Profit]]-Table1[[#This Row],[Fixed Cost (₹)]]</f>
        <v>96000</v>
      </c>
      <c r="M14" s="7"/>
      <c r="N14" s="31"/>
    </row>
    <row r="17" spans="4:14" ht="23.5" x14ac:dyDescent="0.55000000000000004">
      <c r="D17" s="34" t="s">
        <v>58</v>
      </c>
    </row>
    <row r="19" spans="4:14" x14ac:dyDescent="0.35">
      <c r="D19" s="33" t="s">
        <v>59</v>
      </c>
    </row>
    <row r="20" spans="4:14" x14ac:dyDescent="0.35">
      <c r="N20">
        <v>8</v>
      </c>
    </row>
  </sheetData>
  <mergeCells count="2">
    <mergeCell ref="M5:N6"/>
    <mergeCell ref="C5:G6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8B49-CFDD-4138-93DC-366D84B7D24F}">
  <dimension ref="B6:O25"/>
  <sheetViews>
    <sheetView showGridLines="0" topLeftCell="A6" workbookViewId="0">
      <selection activeCell="C9" sqref="C9:H9"/>
    </sheetView>
  </sheetViews>
  <sheetFormatPr defaultRowHeight="14.5" x14ac:dyDescent="0.35"/>
  <sheetData>
    <row r="6" spans="2:15" ht="15" thickBot="1" x14ac:dyDescent="0.4"/>
    <row r="7" spans="2:15" x14ac:dyDescent="0.35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0"/>
    </row>
    <row r="8" spans="2:15" x14ac:dyDescent="0.35"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3"/>
    </row>
    <row r="9" spans="2:15" ht="23.5" x14ac:dyDescent="0.35">
      <c r="B9" s="11"/>
      <c r="C9" s="45" t="s">
        <v>15</v>
      </c>
      <c r="D9" s="45"/>
      <c r="E9" s="45"/>
      <c r="F9" s="45"/>
      <c r="G9" s="45"/>
      <c r="H9" s="45"/>
      <c r="I9" s="12"/>
      <c r="J9" s="12"/>
      <c r="K9" s="12"/>
      <c r="L9" s="12"/>
      <c r="M9" s="12"/>
      <c r="N9" s="12"/>
      <c r="O9" s="13"/>
    </row>
    <row r="10" spans="2:15" x14ac:dyDescent="0.35"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</row>
    <row r="11" spans="2:15" x14ac:dyDescent="0.35">
      <c r="B11" s="11"/>
      <c r="C11" s="14" t="s">
        <v>16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</row>
    <row r="12" spans="2:15" x14ac:dyDescent="0.35">
      <c r="B12" s="11"/>
      <c r="C12" s="12" t="s">
        <v>17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</row>
    <row r="13" spans="2:15" x14ac:dyDescent="0.35"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</row>
    <row r="14" spans="2:15" ht="17.5" x14ac:dyDescent="0.35">
      <c r="B14" s="11"/>
      <c r="C14" s="15" t="s">
        <v>18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</row>
    <row r="15" spans="2:15" x14ac:dyDescent="0.35"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</row>
    <row r="16" spans="2:15" x14ac:dyDescent="0.35">
      <c r="B16" s="11"/>
      <c r="C16" s="12" t="s">
        <v>19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</row>
    <row r="17" spans="2:15" x14ac:dyDescent="0.35">
      <c r="B17" s="11"/>
      <c r="C17" s="16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</row>
    <row r="18" spans="2:15" x14ac:dyDescent="0.35">
      <c r="B18" s="11"/>
      <c r="C18" s="17" t="s">
        <v>20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</row>
    <row r="19" spans="2:15" x14ac:dyDescent="0.35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</row>
    <row r="20" spans="2:15" ht="17.5" x14ac:dyDescent="0.35">
      <c r="B20" s="11"/>
      <c r="C20" s="15" t="s">
        <v>21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</row>
    <row r="21" spans="2:15" x14ac:dyDescent="0.35"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</row>
    <row r="22" spans="2:15" x14ac:dyDescent="0.35">
      <c r="B22" s="11"/>
      <c r="C22" s="16" t="s">
        <v>22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</row>
    <row r="23" spans="2:15" x14ac:dyDescent="0.35"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</row>
    <row r="24" spans="2:15" x14ac:dyDescent="0.35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</row>
    <row r="25" spans="2:15" ht="15" thickBot="1" x14ac:dyDescent="0.4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20"/>
    </row>
  </sheetData>
  <mergeCells count="1">
    <mergeCell ref="C9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D0A1C-D251-49EF-B485-2570450B6067}">
  <dimension ref="B4:Q45"/>
  <sheetViews>
    <sheetView showGridLines="0" workbookViewId="0">
      <selection activeCell="M24" sqref="M24"/>
    </sheetView>
  </sheetViews>
  <sheetFormatPr defaultRowHeight="14.5" x14ac:dyDescent="0.35"/>
  <cols>
    <col min="3" max="3" width="13.90625" customWidth="1"/>
  </cols>
  <sheetData>
    <row r="4" spans="2:17" ht="15" thickBot="1" x14ac:dyDescent="0.4"/>
    <row r="5" spans="2:17" ht="15" thickBot="1" x14ac:dyDescent="0.4"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0"/>
    </row>
    <row r="6" spans="2:17" ht="24" thickBot="1" x14ac:dyDescent="0.4">
      <c r="B6" s="11"/>
      <c r="C6" s="49" t="s">
        <v>23</v>
      </c>
      <c r="D6" s="50"/>
      <c r="E6" s="50"/>
      <c r="F6" s="50"/>
      <c r="G6" s="50"/>
      <c r="H6" s="50"/>
      <c r="I6" s="50"/>
      <c r="J6" s="50"/>
      <c r="K6" s="51"/>
      <c r="L6" s="12"/>
      <c r="M6" s="12"/>
      <c r="N6" s="12"/>
      <c r="O6" s="12"/>
      <c r="P6" s="12"/>
      <c r="Q6" s="13"/>
    </row>
    <row r="7" spans="2:17" x14ac:dyDescent="0.35"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3"/>
    </row>
    <row r="8" spans="2:17" x14ac:dyDescent="0.35">
      <c r="B8" s="11"/>
      <c r="C8" s="14" t="s">
        <v>16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3"/>
    </row>
    <row r="9" spans="2:17" x14ac:dyDescent="0.35">
      <c r="B9" s="11"/>
      <c r="C9" s="12" t="s">
        <v>24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3"/>
    </row>
    <row r="10" spans="2:17" x14ac:dyDescent="0.35"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</row>
    <row r="11" spans="2:17" x14ac:dyDescent="0.35">
      <c r="B11" s="11"/>
      <c r="C11" s="14" t="s">
        <v>53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</row>
    <row r="12" spans="2:17" x14ac:dyDescent="0.35">
      <c r="B12" s="11"/>
      <c r="C12" s="12" t="s">
        <v>52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</row>
    <row r="13" spans="2:17" ht="15" thickBot="1" x14ac:dyDescent="0.4"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3"/>
    </row>
    <row r="14" spans="2:17" ht="17.5" x14ac:dyDescent="0.35">
      <c r="B14" s="11"/>
      <c r="C14" s="46" t="s">
        <v>25</v>
      </c>
      <c r="D14" s="47"/>
      <c r="E14" s="47"/>
      <c r="F14" s="47"/>
      <c r="G14" s="47"/>
      <c r="H14" s="48"/>
      <c r="I14" s="12"/>
      <c r="J14" s="12"/>
      <c r="K14" s="12"/>
      <c r="L14" s="12"/>
      <c r="M14" s="12"/>
      <c r="N14" s="12"/>
      <c r="O14" s="12"/>
      <c r="P14" s="12"/>
      <c r="Q14" s="13"/>
    </row>
    <row r="15" spans="2:17" x14ac:dyDescent="0.35">
      <c r="B15" s="11"/>
      <c r="C15" s="11"/>
      <c r="D15" s="12"/>
      <c r="E15" s="12"/>
      <c r="F15" s="12"/>
      <c r="G15" s="12"/>
      <c r="H15" s="13"/>
      <c r="I15" s="12"/>
      <c r="J15" s="12"/>
      <c r="K15" s="12"/>
      <c r="L15" s="12"/>
      <c r="M15" s="12"/>
      <c r="N15" s="12"/>
      <c r="O15" s="12"/>
      <c r="P15" s="12"/>
      <c r="Q15" s="13"/>
    </row>
    <row r="16" spans="2:17" x14ac:dyDescent="0.35">
      <c r="B16" s="11"/>
      <c r="C16" s="28" t="s">
        <v>26</v>
      </c>
      <c r="D16" s="12"/>
      <c r="E16" s="12"/>
      <c r="F16" s="12"/>
      <c r="G16" s="12"/>
      <c r="H16" s="13"/>
      <c r="I16" s="12"/>
      <c r="J16" s="12"/>
      <c r="K16" s="12"/>
      <c r="L16" s="12"/>
      <c r="M16" s="12"/>
      <c r="N16" s="12"/>
      <c r="O16" s="12"/>
      <c r="P16" s="12"/>
      <c r="Q16" s="13"/>
    </row>
    <row r="17" spans="2:17" x14ac:dyDescent="0.35">
      <c r="B17" s="11"/>
      <c r="C17" s="29" t="s">
        <v>27</v>
      </c>
      <c r="D17" s="12"/>
      <c r="E17" s="12"/>
      <c r="F17" s="12"/>
      <c r="G17" s="12"/>
      <c r="H17" s="13"/>
      <c r="I17" s="12"/>
      <c r="J17" s="12"/>
      <c r="K17" s="12"/>
      <c r="L17" s="12"/>
      <c r="M17" s="12"/>
      <c r="N17" s="12"/>
      <c r="O17" s="12"/>
      <c r="P17" s="12"/>
      <c r="Q17" s="13"/>
    </row>
    <row r="18" spans="2:17" x14ac:dyDescent="0.35">
      <c r="B18" s="11"/>
      <c r="C18" s="29" t="s">
        <v>28</v>
      </c>
      <c r="D18" s="12"/>
      <c r="E18" s="12"/>
      <c r="F18" s="12"/>
      <c r="G18" s="12"/>
      <c r="H18" s="13"/>
      <c r="I18" s="12"/>
      <c r="J18" s="12"/>
      <c r="K18" s="12"/>
      <c r="L18" s="12"/>
      <c r="M18" s="12"/>
      <c r="N18" s="12"/>
      <c r="O18" s="12"/>
      <c r="P18" s="12"/>
      <c r="Q18" s="13"/>
    </row>
    <row r="19" spans="2:17" x14ac:dyDescent="0.35">
      <c r="B19" s="11"/>
      <c r="C19" s="29" t="s">
        <v>29</v>
      </c>
      <c r="D19" s="12"/>
      <c r="E19" s="12"/>
      <c r="F19" s="12"/>
      <c r="G19" s="12"/>
      <c r="H19" s="13"/>
      <c r="I19" s="12"/>
      <c r="J19" s="12"/>
      <c r="K19" s="12"/>
      <c r="L19" s="12"/>
      <c r="M19" s="12"/>
      <c r="N19" s="12"/>
      <c r="O19" s="12"/>
      <c r="P19" s="12"/>
      <c r="Q19" s="13"/>
    </row>
    <row r="20" spans="2:17" x14ac:dyDescent="0.35">
      <c r="B20" s="11"/>
      <c r="C20" s="29" t="s">
        <v>30</v>
      </c>
      <c r="D20" s="12"/>
      <c r="E20" s="12"/>
      <c r="F20" s="12"/>
      <c r="G20" s="12"/>
      <c r="H20" s="13"/>
      <c r="I20" s="12"/>
      <c r="J20" s="12"/>
      <c r="K20" s="12"/>
      <c r="L20" s="12"/>
      <c r="M20" s="12"/>
      <c r="N20" s="12"/>
      <c r="O20" s="12"/>
      <c r="P20" s="12"/>
      <c r="Q20" s="13"/>
    </row>
    <row r="21" spans="2:17" ht="15" thickBot="1" x14ac:dyDescent="0.4">
      <c r="B21" s="11"/>
      <c r="C21" s="30" t="s">
        <v>31</v>
      </c>
      <c r="D21" s="19"/>
      <c r="E21" s="19"/>
      <c r="F21" s="19"/>
      <c r="G21" s="19"/>
      <c r="H21" s="20"/>
      <c r="I21" s="12"/>
      <c r="J21" s="12"/>
      <c r="K21" s="12"/>
      <c r="L21" s="12"/>
      <c r="M21" s="12"/>
      <c r="N21" s="12"/>
      <c r="O21" s="12"/>
      <c r="P21" s="12"/>
      <c r="Q21" s="13"/>
    </row>
    <row r="22" spans="2:17" ht="15" thickBot="1" x14ac:dyDescent="0.4"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3"/>
    </row>
    <row r="23" spans="2:17" ht="17.5" x14ac:dyDescent="0.35">
      <c r="B23" s="11"/>
      <c r="C23" s="46" t="s">
        <v>32</v>
      </c>
      <c r="D23" s="47"/>
      <c r="E23" s="47"/>
      <c r="F23" s="47"/>
      <c r="G23" s="47"/>
      <c r="H23" s="47"/>
      <c r="I23" s="48"/>
      <c r="J23" s="12"/>
      <c r="K23" s="12"/>
      <c r="L23" s="12"/>
      <c r="M23" s="12"/>
      <c r="N23" s="12"/>
      <c r="O23" s="12"/>
      <c r="P23" s="12"/>
      <c r="Q23" s="13"/>
    </row>
    <row r="24" spans="2:17" x14ac:dyDescent="0.35">
      <c r="B24" s="11"/>
      <c r="C24" s="11"/>
      <c r="D24" s="12"/>
      <c r="E24" s="12"/>
      <c r="F24" s="12"/>
      <c r="G24" s="12"/>
      <c r="H24" s="12"/>
      <c r="I24" s="13"/>
      <c r="J24" s="12"/>
      <c r="K24" s="12"/>
      <c r="L24" s="12"/>
      <c r="M24" s="12"/>
      <c r="N24" s="12"/>
      <c r="O24" s="12"/>
      <c r="P24" s="12"/>
      <c r="Q24" s="13"/>
    </row>
    <row r="25" spans="2:17" x14ac:dyDescent="0.35">
      <c r="B25" s="11"/>
      <c r="C25" s="28" t="s">
        <v>2</v>
      </c>
      <c r="D25" s="12"/>
      <c r="E25" s="12"/>
      <c r="F25" s="12"/>
      <c r="G25" s="12"/>
      <c r="H25" s="12"/>
      <c r="I25" s="13"/>
      <c r="J25" s="12"/>
      <c r="K25" s="12"/>
      <c r="L25" s="12"/>
      <c r="M25" s="12"/>
      <c r="N25" s="12"/>
      <c r="O25" s="12"/>
      <c r="P25" s="12"/>
      <c r="Q25" s="13"/>
    </row>
    <row r="26" spans="2:17" x14ac:dyDescent="0.35">
      <c r="B26" s="11"/>
      <c r="C26" s="29">
        <v>30</v>
      </c>
      <c r="D26" s="12"/>
      <c r="E26" s="12"/>
      <c r="F26" s="12"/>
      <c r="G26" s="12"/>
      <c r="H26" s="12"/>
      <c r="I26" s="13"/>
      <c r="J26" s="12"/>
      <c r="K26" s="12"/>
      <c r="L26" s="12"/>
      <c r="M26" s="12"/>
      <c r="N26" s="12"/>
      <c r="O26" s="12"/>
      <c r="P26" s="12"/>
      <c r="Q26" s="13"/>
    </row>
    <row r="27" spans="2:17" x14ac:dyDescent="0.35">
      <c r="B27" s="11"/>
      <c r="C27" s="29">
        <v>40</v>
      </c>
      <c r="D27" s="12"/>
      <c r="E27" s="12"/>
      <c r="F27" s="12"/>
      <c r="G27" s="12"/>
      <c r="H27" s="12"/>
      <c r="I27" s="13"/>
      <c r="J27" s="12"/>
      <c r="K27" s="12"/>
      <c r="L27" s="12"/>
      <c r="M27" s="12"/>
      <c r="N27" s="12"/>
      <c r="O27" s="12"/>
      <c r="P27" s="12"/>
      <c r="Q27" s="13"/>
    </row>
    <row r="28" spans="2:17" x14ac:dyDescent="0.35">
      <c r="B28" s="11"/>
      <c r="C28" s="29">
        <v>50</v>
      </c>
      <c r="D28" s="12"/>
      <c r="E28" s="12"/>
      <c r="F28" s="12"/>
      <c r="G28" s="12"/>
      <c r="H28" s="12"/>
      <c r="I28" s="13"/>
      <c r="J28" s="12"/>
      <c r="K28" s="12"/>
      <c r="L28" s="12"/>
      <c r="M28" s="12"/>
      <c r="N28" s="12"/>
      <c r="O28" s="12"/>
      <c r="P28" s="12"/>
      <c r="Q28" s="13"/>
    </row>
    <row r="29" spans="2:17" x14ac:dyDescent="0.35">
      <c r="B29" s="11"/>
      <c r="C29" s="29">
        <v>60</v>
      </c>
      <c r="D29" s="12"/>
      <c r="E29" s="12"/>
      <c r="F29" s="12"/>
      <c r="G29" s="12"/>
      <c r="H29" s="12"/>
      <c r="I29" s="13"/>
      <c r="J29" s="12"/>
      <c r="K29" s="12"/>
      <c r="L29" s="12"/>
      <c r="M29" s="12"/>
      <c r="N29" s="12"/>
      <c r="O29" s="12"/>
      <c r="P29" s="12"/>
      <c r="Q29" s="13"/>
    </row>
    <row r="30" spans="2:17" x14ac:dyDescent="0.35">
      <c r="B30" s="11"/>
      <c r="C30" s="29">
        <v>70</v>
      </c>
      <c r="D30" s="12"/>
      <c r="E30" s="12"/>
      <c r="F30" s="12"/>
      <c r="G30" s="12"/>
      <c r="H30" s="12"/>
      <c r="I30" s="13"/>
      <c r="J30" s="12"/>
      <c r="K30" s="12"/>
      <c r="L30" s="12"/>
      <c r="M30" s="12"/>
      <c r="N30" s="12"/>
      <c r="O30" s="12"/>
      <c r="P30" s="12"/>
      <c r="Q30" s="13"/>
    </row>
    <row r="31" spans="2:17" ht="15" thickBot="1" x14ac:dyDescent="0.4">
      <c r="B31" s="11"/>
      <c r="C31" s="18"/>
      <c r="D31" s="19"/>
      <c r="E31" s="19"/>
      <c r="F31" s="19"/>
      <c r="G31" s="19"/>
      <c r="H31" s="19"/>
      <c r="I31" s="20"/>
      <c r="J31" s="12"/>
      <c r="K31" s="12"/>
      <c r="L31" s="12"/>
      <c r="M31" s="12"/>
      <c r="N31" s="12"/>
      <c r="O31" s="12"/>
      <c r="P31" s="12"/>
      <c r="Q31" s="13"/>
    </row>
    <row r="32" spans="2:17" ht="17.5" x14ac:dyDescent="0.35">
      <c r="B32" s="11"/>
      <c r="C32" s="15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3"/>
    </row>
    <row r="33" spans="2:17" x14ac:dyDescent="0.35">
      <c r="B33" s="11"/>
      <c r="C33" s="14" t="s">
        <v>54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3"/>
    </row>
    <row r="34" spans="2:17" x14ac:dyDescent="0.35">
      <c r="B34" s="11"/>
      <c r="C34" s="12" t="s">
        <v>55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3"/>
    </row>
    <row r="35" spans="2:17" x14ac:dyDescent="0.35">
      <c r="B35" s="11"/>
      <c r="C35" s="16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3"/>
    </row>
    <row r="36" spans="2:17" x14ac:dyDescent="0.35">
      <c r="B36" s="11"/>
      <c r="C36" s="17" t="s">
        <v>33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3"/>
    </row>
    <row r="37" spans="2:17" x14ac:dyDescent="0.35"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3"/>
    </row>
    <row r="38" spans="2:17" ht="17.5" x14ac:dyDescent="0.35">
      <c r="B38" s="11"/>
      <c r="C38" s="15" t="s">
        <v>34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3"/>
    </row>
    <row r="39" spans="2:17" x14ac:dyDescent="0.35">
      <c r="B39" s="11"/>
      <c r="C39" s="16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3"/>
    </row>
    <row r="40" spans="2:17" x14ac:dyDescent="0.35">
      <c r="B40" s="11"/>
      <c r="C40" s="16" t="s">
        <v>35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3"/>
    </row>
    <row r="41" spans="2:17" x14ac:dyDescent="0.35">
      <c r="B41" s="11"/>
      <c r="C41" s="16" t="s">
        <v>36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3"/>
    </row>
    <row r="42" spans="2:17" x14ac:dyDescent="0.35">
      <c r="B42" s="11"/>
      <c r="C42" s="16" t="s">
        <v>37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3"/>
    </row>
    <row r="43" spans="2:17" x14ac:dyDescent="0.35">
      <c r="B43" s="11"/>
      <c r="C43" s="16" t="s">
        <v>38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3"/>
    </row>
    <row r="44" spans="2:17" x14ac:dyDescent="0.35"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3"/>
    </row>
    <row r="45" spans="2:17" ht="15" thickBot="1" x14ac:dyDescent="0.4">
      <c r="B45" s="18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20"/>
    </row>
  </sheetData>
  <mergeCells count="3">
    <mergeCell ref="C23:I23"/>
    <mergeCell ref="C14:H14"/>
    <mergeCell ref="C6:K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031CD-4802-41C9-A3DC-4648A248E227}">
  <dimension ref="B4:B8"/>
  <sheetViews>
    <sheetView tabSelected="1" workbookViewId="0">
      <selection activeCell="B9" sqref="B9"/>
    </sheetView>
  </sheetViews>
  <sheetFormatPr defaultRowHeight="14.5" x14ac:dyDescent="0.35"/>
  <sheetData>
    <row r="4" spans="2:2" x14ac:dyDescent="0.35">
      <c r="B4">
        <v>50000</v>
      </c>
    </row>
    <row r="5" spans="2:2" x14ac:dyDescent="0.35">
      <c r="B5">
        <v>52500</v>
      </c>
    </row>
    <row r="6" spans="2:2" x14ac:dyDescent="0.35">
      <c r="B6">
        <v>55000</v>
      </c>
    </row>
    <row r="7" spans="2:2" x14ac:dyDescent="0.35">
      <c r="B7">
        <v>57500</v>
      </c>
    </row>
    <row r="8" spans="2:2" x14ac:dyDescent="0.35">
      <c r="B8">
        <v>60000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B56F-4EDF-4B87-A5F8-60005EDDD6A0}">
  <dimension ref="B2:N35"/>
  <sheetViews>
    <sheetView showGridLines="0" workbookViewId="0">
      <selection activeCell="F21" sqref="F21"/>
    </sheetView>
  </sheetViews>
  <sheetFormatPr defaultRowHeight="14.5" x14ac:dyDescent="0.35"/>
  <sheetData>
    <row r="2" spans="2:14" ht="15" thickBot="1" x14ac:dyDescent="0.4"/>
    <row r="3" spans="2:14" ht="15" thickBot="1" x14ac:dyDescent="0.4"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</row>
    <row r="4" spans="2:14" ht="24" thickBot="1" x14ac:dyDescent="0.4">
      <c r="B4" s="11"/>
      <c r="C4" s="49" t="s">
        <v>39</v>
      </c>
      <c r="D4" s="50"/>
      <c r="E4" s="50"/>
      <c r="F4" s="50"/>
      <c r="G4" s="50"/>
      <c r="H4" s="50"/>
      <c r="I4" s="50"/>
      <c r="J4" s="50"/>
      <c r="K4" s="50"/>
      <c r="L4" s="51"/>
      <c r="M4" s="12"/>
      <c r="N4" s="13"/>
    </row>
    <row r="5" spans="2:14" x14ac:dyDescent="0.35"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3"/>
    </row>
    <row r="6" spans="2:14" x14ac:dyDescent="0.35">
      <c r="B6" s="11"/>
      <c r="C6" s="14" t="s">
        <v>16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3"/>
    </row>
    <row r="7" spans="2:14" x14ac:dyDescent="0.35">
      <c r="B7" s="11"/>
      <c r="C7" s="12" t="s">
        <v>40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3"/>
    </row>
    <row r="8" spans="2:14" x14ac:dyDescent="0.35"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3"/>
    </row>
    <row r="9" spans="2:14" x14ac:dyDescent="0.35">
      <c r="B9" s="11"/>
      <c r="C9" s="12" t="s">
        <v>41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3"/>
    </row>
    <row r="10" spans="2:14" x14ac:dyDescent="0.35"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3"/>
    </row>
    <row r="11" spans="2:14" ht="29" x14ac:dyDescent="0.35">
      <c r="B11" s="11"/>
      <c r="C11" s="26" t="s">
        <v>42</v>
      </c>
      <c r="D11" s="26" t="s">
        <v>26</v>
      </c>
      <c r="E11" s="26" t="s">
        <v>2</v>
      </c>
      <c r="F11" s="12"/>
      <c r="G11" s="12"/>
      <c r="H11" s="12"/>
      <c r="I11" s="12"/>
      <c r="J11" s="12"/>
      <c r="K11" s="12"/>
      <c r="L11" s="12"/>
      <c r="M11" s="12"/>
      <c r="N11" s="13"/>
    </row>
    <row r="12" spans="2:14" ht="29" x14ac:dyDescent="0.35">
      <c r="B12" s="11"/>
      <c r="C12" s="27" t="s">
        <v>43</v>
      </c>
      <c r="D12" s="27" t="s">
        <v>29</v>
      </c>
      <c r="E12" s="27">
        <v>40</v>
      </c>
      <c r="F12" s="12"/>
      <c r="G12" s="12"/>
      <c r="H12" s="12"/>
      <c r="I12" s="12"/>
      <c r="J12" s="12"/>
      <c r="K12" s="12"/>
      <c r="L12" s="12"/>
      <c r="M12" s="12"/>
      <c r="N12" s="13"/>
    </row>
    <row r="13" spans="2:14" ht="29" x14ac:dyDescent="0.35">
      <c r="B13" s="11"/>
      <c r="C13" s="27" t="s">
        <v>44</v>
      </c>
      <c r="D13" s="27" t="s">
        <v>45</v>
      </c>
      <c r="E13" s="27">
        <v>35</v>
      </c>
      <c r="F13" s="12"/>
      <c r="G13" s="12"/>
      <c r="H13" s="12"/>
      <c r="I13" s="12"/>
      <c r="J13" s="12"/>
      <c r="K13" s="12"/>
      <c r="L13" s="12"/>
      <c r="M13" s="12"/>
      <c r="N13" s="13"/>
    </row>
    <row r="14" spans="2:14" ht="29" x14ac:dyDescent="0.35">
      <c r="B14" s="11"/>
      <c r="C14" s="27" t="s">
        <v>46</v>
      </c>
      <c r="D14" s="27" t="s">
        <v>47</v>
      </c>
      <c r="E14" s="27">
        <v>60</v>
      </c>
      <c r="F14" s="12"/>
      <c r="G14" s="12"/>
      <c r="H14" s="12"/>
      <c r="I14" s="12"/>
      <c r="J14" s="12"/>
      <c r="K14" s="12"/>
      <c r="L14" s="12"/>
      <c r="M14" s="12"/>
      <c r="N14" s="13"/>
    </row>
    <row r="15" spans="2:14" x14ac:dyDescent="0.35"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3"/>
    </row>
    <row r="16" spans="2:14" ht="17.5" x14ac:dyDescent="0.35">
      <c r="B16" s="11"/>
      <c r="C16" s="15" t="s">
        <v>18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3"/>
    </row>
    <row r="17" spans="2:14" x14ac:dyDescent="0.35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3"/>
    </row>
    <row r="18" spans="2:14" x14ac:dyDescent="0.35">
      <c r="B18" s="11"/>
      <c r="C18" s="12" t="s">
        <v>48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3"/>
    </row>
    <row r="19" spans="2:14" x14ac:dyDescent="0.35">
      <c r="B19" s="11"/>
      <c r="C19" s="16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3"/>
    </row>
    <row r="20" spans="2:14" x14ac:dyDescent="0.35">
      <c r="B20" s="11"/>
      <c r="C20" s="16" t="s">
        <v>26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3"/>
    </row>
    <row r="21" spans="2:14" x14ac:dyDescent="0.35">
      <c r="B21" s="11"/>
      <c r="C21" s="16" t="s">
        <v>2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3"/>
    </row>
    <row r="22" spans="2:14" x14ac:dyDescent="0.35">
      <c r="B22" s="11"/>
      <c r="C22" s="16" t="s">
        <v>11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3"/>
    </row>
    <row r="23" spans="2:14" x14ac:dyDescent="0.35">
      <c r="B23" s="11"/>
      <c r="C23" s="16" t="s">
        <v>14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3"/>
    </row>
    <row r="24" spans="2:14" x14ac:dyDescent="0.35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3"/>
    </row>
    <row r="25" spans="2:14" ht="17.5" x14ac:dyDescent="0.35">
      <c r="B25" s="11"/>
      <c r="C25" s="15" t="s">
        <v>34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3"/>
    </row>
    <row r="26" spans="2:14" x14ac:dyDescent="0.35"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3"/>
    </row>
    <row r="27" spans="2:14" x14ac:dyDescent="0.35">
      <c r="B27" s="11"/>
      <c r="C27" s="12" t="s">
        <v>56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3"/>
    </row>
    <row r="28" spans="2:14" x14ac:dyDescent="0.35">
      <c r="B28" s="11"/>
      <c r="C28" s="16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3"/>
    </row>
    <row r="29" spans="2:14" x14ac:dyDescent="0.35">
      <c r="B29" s="11"/>
      <c r="C29" s="17" t="s">
        <v>49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</row>
    <row r="30" spans="2:14" ht="15" thickBot="1" x14ac:dyDescent="0.4">
      <c r="B30" s="18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20"/>
    </row>
    <row r="31" spans="2:14" ht="17.5" x14ac:dyDescent="0.35">
      <c r="C31" s="1"/>
    </row>
    <row r="34" spans="3:3" x14ac:dyDescent="0.35">
      <c r="C34" s="2"/>
    </row>
    <row r="35" spans="3:3" x14ac:dyDescent="0.35">
      <c r="C35" s="3"/>
    </row>
  </sheetData>
  <mergeCells count="1">
    <mergeCell ref="C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GOALSEEK</vt:lpstr>
      <vt:lpstr>DATA TABLE</vt:lpstr>
      <vt:lpstr>Sheet1</vt:lpstr>
      <vt:lpstr>SCENARIO MANAGER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 edakuni</dc:creator>
  <cp:lastModifiedBy>Muhammed safwam</cp:lastModifiedBy>
  <dcterms:created xsi:type="dcterms:W3CDTF">2026-09-24T17:54:21Z</dcterms:created>
  <dcterms:modified xsi:type="dcterms:W3CDTF">2026-09-25T09:38:34Z</dcterms:modified>
</cp:coreProperties>
</file>