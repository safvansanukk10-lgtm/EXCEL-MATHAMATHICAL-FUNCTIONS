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B9DA162-D123-4B9F-A046-8899755467EB}" xr6:coauthVersionLast="47" xr6:coauthVersionMax="47" xr10:uidLastSave="{00000000-0000-0000-0000-000000000000}"/>
  <bookViews>
    <workbookView xWindow="-110" yWindow="-110" windowWidth="19420" windowHeight="10300" xr2:uid="{BC918CE2-77C8-4AEC-8F4E-DE5D24EA0AE0}"/>
  </bookViews>
  <sheets>
    <sheet name="DATASET" sheetId="2" r:id="rId1"/>
    <sheet name="NOTES" sheetId="4" r:id="rId2"/>
    <sheet name="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<sst xmlns="http://schemas.openxmlformats.org/spreadsheetml/2006/main" count="119" uniqueCount="105">
  <si>
    <t>Student ID</t>
  </si>
  <si>
    <t>Student Name</t>
  </si>
  <si>
    <t>Marks</t>
  </si>
  <si>
    <t>Attendance %</t>
  </si>
  <si>
    <t>Assignment Score</t>
  </si>
  <si>
    <t>Fee Paid</t>
  </si>
  <si>
    <t>Study Hours</t>
  </si>
  <si>
    <t>S001</t>
  </si>
  <si>
    <t>Anu</t>
  </si>
  <si>
    <t>Yes</t>
  </si>
  <si>
    <t>S002</t>
  </si>
  <si>
    <t>Rahul</t>
  </si>
  <si>
    <t>S003</t>
  </si>
  <si>
    <t>Fathima</t>
  </si>
  <si>
    <t>S004</t>
  </si>
  <si>
    <t>Vishnu</t>
  </si>
  <si>
    <t>No</t>
  </si>
  <si>
    <t>S005</t>
  </si>
  <si>
    <t>Niha</t>
  </si>
  <si>
    <t>S006</t>
  </si>
  <si>
    <t>Sanjay</t>
  </si>
  <si>
    <t>S007</t>
  </si>
  <si>
    <t>Khadeeja</t>
  </si>
  <si>
    <t>S008</t>
  </si>
  <si>
    <t>Adithya</t>
  </si>
  <si>
    <t>S009</t>
  </si>
  <si>
    <t>Aiswarya</t>
  </si>
  <si>
    <t>S010</t>
  </si>
  <si>
    <t>Mohammed</t>
  </si>
  <si>
    <t>S011</t>
  </si>
  <si>
    <t>Sneha</t>
  </si>
  <si>
    <t>S012</t>
  </si>
  <si>
    <t>Arjun</t>
  </si>
  <si>
    <t>S013</t>
  </si>
  <si>
    <t>Hiba</t>
  </si>
  <si>
    <t>S014</t>
  </si>
  <si>
    <t>Nikhil</t>
  </si>
  <si>
    <t>S015</t>
  </si>
  <si>
    <t>Meera</t>
  </si>
  <si>
    <t>Rounding Functions</t>
  </si>
  <si>
    <r>
      <t xml:space="preserve">1. Use </t>
    </r>
    <r>
      <rPr>
        <sz val="10"/>
        <color theme="1"/>
        <rFont val="Arial Unicode MS"/>
      </rPr>
      <t>ROUND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to 1 decimal place.</t>
    </r>
  </si>
  <si>
    <r>
      <t xml:space="preserve">2. Use </t>
    </r>
    <r>
      <rPr>
        <sz val="10"/>
        <color theme="1"/>
        <rFont val="Arial Unicode MS"/>
      </rPr>
      <t>ROUNDUP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Assignment Score</t>
    </r>
    <r>
      <rPr>
        <sz val="11"/>
        <color theme="1"/>
        <rFont val="Aptos Narrow"/>
        <family val="2"/>
        <scheme val="minor"/>
      </rPr>
      <t xml:space="preserve"> upward to 1 decimal place.</t>
    </r>
  </si>
  <si>
    <r>
      <t xml:space="preserve">3. Use </t>
    </r>
    <r>
      <rPr>
        <sz val="10"/>
        <color theme="1"/>
        <rFont val="Arial Unicode MS"/>
      </rPr>
      <t>ROUNDDOWN</t>
    </r>
    <r>
      <rPr>
        <sz val="11"/>
        <color theme="1"/>
        <rFont val="Aptos Narrow"/>
        <family val="2"/>
        <scheme val="minor"/>
      </rPr>
      <t xml:space="preserve"> to round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 xml:space="preserve"> down to 0 decimal places.</t>
    </r>
  </si>
  <si>
    <r>
      <t xml:space="preserve">4. Use </t>
    </r>
    <r>
      <rPr>
        <sz val="10"/>
        <color theme="1"/>
        <rFont val="Arial Unicode MS"/>
      </rPr>
      <t>INT</t>
    </r>
    <r>
      <rPr>
        <sz val="11"/>
        <color theme="1"/>
        <rFont val="Aptos Narrow"/>
        <family val="2"/>
        <scheme val="minor"/>
      </rPr>
      <t xml:space="preserve"> to extract the whole number from </t>
    </r>
    <r>
      <rPr>
        <b/>
        <sz val="11"/>
        <color theme="1"/>
        <rFont val="Aptos Narrow"/>
        <family val="2"/>
        <scheme val="minor"/>
      </rPr>
      <t>Study Hours</t>
    </r>
    <r>
      <rPr>
        <sz val="11"/>
        <color theme="1"/>
        <rFont val="Aptos Narrow"/>
        <family val="2"/>
        <scheme val="minor"/>
      </rPr>
      <t>.</t>
    </r>
  </si>
  <si>
    <r>
      <t xml:space="preserve">5. Create a </t>
    </r>
    <r>
      <rPr>
        <b/>
        <sz val="11"/>
        <color theme="1"/>
        <rFont val="Aptos Narrow"/>
        <family val="2"/>
        <scheme val="minor"/>
      </rPr>
      <t>Result</t>
    </r>
    <r>
      <rPr>
        <sz val="11"/>
        <color theme="1"/>
        <rFont val="Aptos Narrow"/>
        <family val="2"/>
        <scheme val="minor"/>
      </rPr>
      <t xml:space="preserve"> column: Marks ≥ 50 → </t>
    </r>
    <r>
      <rPr>
        <sz val="10"/>
        <color theme="1"/>
        <rFont val="Arial Unicode MS"/>
      </rPr>
      <t>"Pass"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"Fail"</t>
    </r>
    <r>
      <rPr>
        <sz val="11"/>
        <color theme="1"/>
        <rFont val="Aptos Narrow"/>
        <family val="2"/>
        <scheme val="minor"/>
      </rPr>
      <t>.</t>
    </r>
  </si>
  <si>
    <r>
      <t xml:space="preserve">6. Create an </t>
    </r>
    <r>
      <rPr>
        <b/>
        <sz val="11"/>
        <color theme="1"/>
        <rFont val="Aptos Narrow"/>
        <family val="2"/>
        <scheme val="minor"/>
      </rPr>
      <t>Attendance Status</t>
    </r>
    <r>
      <rPr>
        <sz val="11"/>
        <color theme="1"/>
        <rFont val="Aptos Narrow"/>
        <family val="2"/>
        <scheme val="minor"/>
      </rPr>
      <t xml:space="preserve"> column: Attendance ≥ 75% → </t>
    </r>
    <r>
      <rPr>
        <sz val="10"/>
        <color theme="1"/>
        <rFont val="Arial Unicode MS"/>
      </rPr>
      <t>"Eligible"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Eligible"</t>
    </r>
    <r>
      <rPr>
        <sz val="11"/>
        <color theme="1"/>
        <rFont val="Aptos Narrow"/>
        <family val="2"/>
        <scheme val="minor"/>
      </rPr>
      <t>.</t>
    </r>
  </si>
  <si>
    <r>
      <t xml:space="preserve">7. </t>
    </r>
    <r>
      <rPr>
        <b/>
        <sz val="11"/>
        <color theme="1"/>
        <rFont val="Aptos Narrow"/>
        <family val="2"/>
        <scheme val="minor"/>
      </rPr>
      <t>IF + AND: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"Excellent"</t>
    </r>
    <r>
      <rPr>
        <sz val="11"/>
        <color theme="1"/>
        <rFont val="Aptos Narrow"/>
        <family val="2"/>
        <scheme val="minor"/>
      </rPr>
      <t xml:space="preserve"> if Marks ≥ 80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90%; otherwise </t>
    </r>
    <r>
      <rPr>
        <sz val="10"/>
        <color theme="1"/>
        <rFont val="Arial Unicode MS"/>
      </rPr>
      <t>"Needs Improvement"</t>
    </r>
    <r>
      <rPr>
        <sz val="11"/>
        <color theme="1"/>
        <rFont val="Aptos Narrow"/>
        <family val="2"/>
        <scheme val="minor"/>
      </rPr>
      <t>.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</si>
  <si>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IF + OR:</t>
    </r>
    <r>
      <rPr>
        <sz val="11"/>
        <color theme="1"/>
        <rFont val="Aptos Narrow"/>
        <family val="2"/>
        <scheme val="minor"/>
      </rPr>
      <t xml:space="preserve"> Student gets </t>
    </r>
    <r>
      <rPr>
        <sz val="10"/>
        <color theme="1"/>
        <rFont val="Arial Unicode MS"/>
      </rPr>
      <t>"Action Required"</t>
    </r>
    <r>
      <rPr>
        <sz val="11"/>
        <color theme="1"/>
        <rFont val="Aptos Narrow"/>
        <family val="2"/>
        <scheme val="minor"/>
      </rPr>
      <t xml:space="preserve"> if Marks &lt; 50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Attendance &lt; 75%; otherwise </t>
    </r>
    <r>
      <rPr>
        <sz val="10"/>
        <color theme="1"/>
        <rFont val="Arial Unicode MS"/>
      </rPr>
      <t>"Normal"</t>
    </r>
    <r>
      <rPr>
        <sz val="11"/>
        <color theme="1"/>
        <rFont val="Aptos Narrow"/>
        <family val="2"/>
        <scheme val="minor"/>
      </rPr>
      <t>.</t>
    </r>
  </si>
  <si>
    <r>
      <t xml:space="preserve">9. </t>
    </r>
    <r>
      <rPr>
        <b/>
        <sz val="11"/>
        <color theme="1"/>
        <rFont val="Aptos Narrow"/>
        <family val="2"/>
        <scheme val="minor"/>
      </rPr>
      <t>IFS:</t>
    </r>
    <r>
      <rPr>
        <sz val="11"/>
        <color theme="1"/>
        <rFont val="Aptos Narrow"/>
        <family val="2"/>
        <scheme val="minor"/>
      </rPr>
      <t xml:space="preserve"> Create a </t>
    </r>
    <r>
      <rPr>
        <b/>
        <sz val="11"/>
        <color theme="1"/>
        <rFont val="Aptos Narrow"/>
        <family val="2"/>
        <scheme val="minor"/>
      </rPr>
      <t>Grade</t>
    </r>
    <r>
      <rPr>
        <sz val="11"/>
        <color theme="1"/>
        <rFont val="Aptos Narrow"/>
        <family val="2"/>
        <scheme val="minor"/>
      </rPr>
      <t xml:space="preserve"> column:</t>
    </r>
  </si>
  <si>
    <t>Marks ≥ 90 → A+</t>
  </si>
  <si>
    <t>Marks ≥ 80 → A</t>
  </si>
  <si>
    <t>Marks ≥ 70 → B</t>
  </si>
  <si>
    <t>Marks ≥ 60 → C</t>
  </si>
  <si>
    <t>Marks ≥ 50 → D</t>
  </si>
  <si>
    <t>Marks &lt; 50 → F</t>
  </si>
  <si>
    <t>Function Name</t>
  </si>
  <si>
    <t>Description</t>
  </si>
  <si>
    <t>Syntax</t>
  </si>
  <si>
    <t>Example</t>
  </si>
  <si>
    <t>Real-Life Use Case</t>
  </si>
  <si>
    <t>ROUND</t>
  </si>
  <si>
    <t>Rounds a number to a specified number of digits.</t>
  </si>
  <si>
    <t>ROUND(number, num_digits)</t>
  </si>
  <si>
    <r>
      <t>ROUND(78.456, 2)</t>
    </r>
    <r>
      <rPr>
        <sz val="11"/>
        <color theme="1"/>
        <rFont val="Aptos Narrow"/>
        <family val="2"/>
        <scheme val="minor"/>
      </rPr>
      <t xml:space="preserve"> → 78.46</t>
    </r>
  </si>
  <si>
    <t>Rounding marks, prices, percentages, or calculated values to a fixed number of decimal places.</t>
  </si>
  <si>
    <t>ROUNDUP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</si>
  <si>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up</t>
    </r>
    <r>
      <rPr>
        <sz val="11"/>
        <color theme="1"/>
        <rFont val="Aptos Narrow"/>
        <family val="2"/>
        <scheme val="minor"/>
      </rPr>
      <t>, away from zero.</t>
    </r>
  </si>
  <si>
    <t>ROUNDUP(number, num_digits)</t>
  </si>
  <si>
    <r>
      <t>ROUNDUP(65.234, 2)</t>
    </r>
    <r>
      <rPr>
        <sz val="11"/>
        <color theme="1"/>
        <rFont val="Aptos Narrow"/>
        <family val="2"/>
        <scheme val="minor"/>
      </rPr>
      <t xml:space="preserve"> → 65.24</t>
    </r>
  </si>
  <si>
    <t>Calculating charges or quantities where the value should always be rounded upward.</t>
  </si>
  <si>
    <t>ROUNDDOWN</t>
  </si>
  <si>
    <r>
      <t xml:space="preserve">Rounds a number </t>
    </r>
    <r>
      <rPr>
        <b/>
        <sz val="11"/>
        <color theme="1"/>
        <rFont val="Aptos Narrow"/>
        <family val="2"/>
        <scheme val="minor"/>
      </rPr>
      <t>down</t>
    </r>
    <r>
      <rPr>
        <sz val="11"/>
        <color theme="1"/>
        <rFont val="Aptos Narrow"/>
        <family val="2"/>
        <scheme val="minor"/>
      </rPr>
      <t>, toward zero.</t>
    </r>
  </si>
  <si>
    <t>Logical Basics – IF</t>
  </si>
  <si>
    <t>Multiple Conditions</t>
  </si>
  <si>
    <t>ROUNDDOWN(number, num_digits)</t>
  </si>
  <si>
    <r>
      <t>ROUNDDOWN(65.238, 2)</t>
    </r>
    <r>
      <rPr>
        <sz val="11"/>
        <color theme="1"/>
        <rFont val="Aptos Narrow"/>
        <family val="2"/>
        <scheme val="minor"/>
      </rPr>
      <t xml:space="preserve"> → 65.23</t>
    </r>
  </si>
  <si>
    <t>Calculating available quantities or conservative estimates where values should not exceed the actual amount.</t>
  </si>
  <si>
    <t>INT</t>
  </si>
  <si>
    <t>Removes the decimal portion and returns the integer part of a number.</t>
  </si>
  <si>
    <t>INT(number)</t>
  </si>
  <si>
    <r>
      <t>INT(5.9)</t>
    </r>
    <r>
      <rPr>
        <sz val="11"/>
        <color theme="1"/>
        <rFont val="Aptos Narrow"/>
        <family val="2"/>
        <scheme val="minor"/>
      </rPr>
      <t xml:space="preserve"> → 5</t>
    </r>
  </si>
  <si>
    <t>Finding completed years, full units, or whole hours from decimal values.</t>
  </si>
  <si>
    <t>IF</t>
  </si>
  <si>
    <t>Checks a condition and returns one value if TRUE and another if FALSE.</t>
  </si>
  <si>
    <t>IF(logical_test, value_if_true, value_if_false)</t>
  </si>
  <si>
    <r>
      <t>IF(78&gt;=50,"Pass","Fail")</t>
    </r>
    <r>
      <rPr>
        <sz val="11"/>
        <color theme="1"/>
        <rFont val="Aptos Narrow"/>
        <family val="2"/>
        <scheme val="minor"/>
      </rPr>
      <t xml:space="preserve"> → Pass</t>
    </r>
  </si>
  <si>
    <t>Identifying students as Pass/Fail, employees as Eligible/Not Eligible, or products as Available/Unavailable.</t>
  </si>
  <si>
    <t>IF + AND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</si>
  <si>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specified conditions are TRUE.</t>
    </r>
  </si>
  <si>
    <t>IF(AND(condition1, condition2), value_if_true, value_if_false)</t>
  </si>
  <si>
    <r>
      <t>IF(AND(78&gt;=50,92.5&gt;=75),"Eligible","Not Eligible")</t>
    </r>
    <r>
      <rPr>
        <sz val="11"/>
        <color theme="1"/>
        <rFont val="Aptos Narrow"/>
        <family val="2"/>
        <scheme val="minor"/>
      </rPr>
      <t xml:space="preserve"> → Eligible</t>
    </r>
  </si>
  <si>
    <r>
      <t xml:space="preserve">Checking eligibility when multiple requirements must be satisfied, such as minimum marks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attendance.</t>
    </r>
  </si>
  <si>
    <t>IF + OR</t>
  </si>
  <si>
    <r>
      <t xml:space="preserve">Checks whether </t>
    </r>
    <r>
      <rPr>
        <b/>
        <sz val="11"/>
        <color theme="1"/>
        <rFont val="Aptos Narrow"/>
        <family val="2"/>
        <scheme val="minor"/>
      </rPr>
      <t>at least one</t>
    </r>
    <r>
      <rPr>
        <sz val="11"/>
        <color theme="1"/>
        <rFont val="Aptos Narrow"/>
        <family val="2"/>
        <scheme val="minor"/>
      </rPr>
      <t xml:space="preserve"> of the specified conditions is TRUE.</t>
    </r>
  </si>
  <si>
    <t>IF(OR(condition1, condition2), value_if_true, value_if_false)</t>
  </si>
  <si>
    <r>
      <t>IF(OR(43&lt;50,68.5&lt;75),"Action Required","Normal")</t>
    </r>
    <r>
      <rPr>
        <sz val="11"/>
        <color theme="1"/>
        <rFont val="Aptos Narrow"/>
        <family val="2"/>
        <scheme val="minor"/>
      </rPr>
      <t xml:space="preserve"> → Action Required</t>
    </r>
  </si>
  <si>
    <r>
      <t xml:space="preserve">Flagging students who have either low marks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low attendance.</t>
    </r>
  </si>
  <si>
    <t>IFS</t>
  </si>
  <si>
    <r>
      <t xml:space="preserve">Checks multiple conditions and returns the result for the </t>
    </r>
    <r>
      <rPr>
        <b/>
        <sz val="11"/>
        <color theme="1"/>
        <rFont val="Aptos Narrow"/>
        <family val="2"/>
        <scheme val="minor"/>
      </rPr>
      <t>first TRUE condition</t>
    </r>
    <r>
      <rPr>
        <sz val="11"/>
        <color theme="1"/>
        <rFont val="Aptos Narrow"/>
        <family val="2"/>
        <scheme val="minor"/>
      </rPr>
      <t>.</t>
    </r>
  </si>
  <si>
    <t>IFS(condition1, value1, condition2, value2, ...)</t>
  </si>
  <si>
    <r>
      <t>IFS(93&gt;=90,"A+",93&gt;=80,"A",93&gt;=70,"B")</t>
    </r>
    <r>
      <rPr>
        <sz val="11"/>
        <color theme="1"/>
        <rFont val="Aptos Narrow"/>
        <family val="2"/>
        <scheme val="minor"/>
      </rPr>
      <t xml:space="preserve"> → A+</t>
    </r>
  </si>
  <si>
    <t>Assigning grades, performance levels, salary bands, risk categories, or customer segments based on ranges.</t>
  </si>
  <si>
    <t>ROUND UP</t>
  </si>
  <si>
    <t>ROUND DOWN</t>
  </si>
  <si>
    <t>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</si>
</sst>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6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8D8CC-3926-420A-A028-89865A55DC13}" name="Table5" displayName="Table5" ref="A1:K16" totalsRowShown="0" headerRowDxfId="4" dataDxfId="5">
  <autoFilter ref="A1:K16" xr:uid="{AB08D8CC-3926-420A-A028-89865A55DC13}"/>
  <tableColumns count="11">
    <tableColumn id="1" xr3:uid="{A7657EAC-7B3B-49B6-B6C4-512C8B21632D}" name="Student ID" dataDxfId="12"/>
    <tableColumn id="2" xr3:uid="{B27537AE-7AFC-459B-BC65-A35FA0CA0A53}" name="Student Name" dataDxfId="11"/>
    <tableColumn id="3" xr3:uid="{5946AE5F-FF28-47F1-BA67-5BD044AA7DB3}" name="Marks" dataDxfId="10"/>
    <tableColumn id="9" xr3:uid="{51905E3C-1C37-496E-AC64-FBB4A491A963}" name="ROUND" dataDxfId="3">
      <calculatedColumnFormula>ROUND(Table5[[#This Row],[Marks]],1)</calculatedColumnFormula>
    </tableColumn>
    <tableColumn id="10" xr3:uid="{489E14FB-34A5-49AA-93B3-78DE2B4F2FB5}" name="ROUND UP" dataDxfId="2">
      <calculatedColumnFormula>ROUNDUP(Table5[[#This Row],[Assignment Score]],1)</calculatedColumnFormula>
    </tableColumn>
    <tableColumn id="11" xr3:uid="{C7FACDD1-1D91-468D-8DD7-F237366E8B78}" name="ROUND DOWN" dataDxfId="1">
      <calculatedColumnFormula>ROUNDDOWN(Table5[[#This Row],[Study Hours]],0)</calculatedColumnFormula>
    </tableColumn>
    <tableColumn id="12" xr3:uid="{C4446D98-D8D0-4BE0-A399-94C82F37DBD1}" name="EXTRACT" dataDxfId="0">
      <calculatedColumnFormula>INT(Table5[[#This Row],[Study Hours]])</calculatedColumnFormula>
    </tableColumn>
    <tableColumn id="4" xr3:uid="{FD65DB24-A89B-4A6B-8B44-AD80931D1D7D}" name="Attendance %" dataDxfId="9"/>
    <tableColumn id="5" xr3:uid="{66CBF514-2D47-4DC2-A9E7-6C31D6C76FD7}" name="Assignment Score" dataDxfId="8"/>
    <tableColumn id="6" xr3:uid="{CCDB2DFB-694F-4BFC-8A2F-387881BB97A8}" name="Fee Paid" dataDxfId="7"/>
    <tableColumn id="7" xr3:uid="{2A151614-51E9-4A5B-A65A-369FCB258D28}" name="Study Hour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57CA4-D267-45A2-A050-43F2A29A8442}" name="Table4" displayName="Table4" ref="A1:E9" totalsRowShown="0" headerRowDxfId="25">
  <autoFilter ref="A1:E9" xr:uid="{8A957CA4-D267-45A2-A050-43F2A29A8442}"/>
  <tableColumns count="5">
    <tableColumn id="1" xr3:uid="{E0D0E90F-C195-4363-8BE3-7D5CE6021B8E}" name="Function Name" dataDxfId="24"/>
    <tableColumn id="2" xr3:uid="{41543977-A0D4-461E-BF64-DF26C340456E}" name="Description" dataDxfId="23"/>
    <tableColumn id="3" xr3:uid="{67B49169-EBA6-4CB8-B5D6-FEC0C61E2ABC}" name="Syntax" dataDxfId="22"/>
    <tableColumn id="4" xr3:uid="{984B1B87-37B3-467B-B88D-E79DC2632900}" name="Example" dataDxfId="21"/>
    <tableColumn id="5" xr3:uid="{9639BBFE-AED9-4ECC-84D3-969F02770A8F}" name="Real-Life Use Case" dataDxfId="2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FC3DB-D544-47DC-B27E-4C80FD3F3C51}" name="Table1" displayName="Table1" ref="A1:A6" totalsRowShown="0" headerRowDxfId="19" dataDxfId="18">
  <autoFilter ref="A1:A6" xr:uid="{1EFFC3DB-D544-47DC-B27E-4C80FD3F3C51}"/>
  <tableColumns count="1">
    <tableColumn id="1" xr3:uid="{172E5DF3-32C4-4290-B0CE-65E47E21D1E1}" name="Rounding Functions" dataDxfId="1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12BE5-6C14-4518-B5BF-D7F9DAA1F647}" name="Table2" displayName="Table2" ref="A8:A10" totalsRowShown="0" headerRowDxfId="16">
  <autoFilter ref="A8:A10" xr:uid="{C2212BE5-6C14-4518-B5BF-D7F9DAA1F647}"/>
  <tableColumns count="1">
    <tableColumn id="1" xr3:uid="{38AA584F-DE78-47D4-9321-39C8A4E0ACD6}" name="Logical Basics – IF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21CC1-9F1B-4681-A9B8-7570A86FD121}" name="Table3" displayName="Table3" ref="A12:A22" totalsRowShown="0" headerRowDxfId="15" dataDxfId="14">
  <autoFilter ref="A12:A22" xr:uid="{86221CC1-9F1B-4681-A9B8-7570A86FD121}"/>
  <tableColumns count="1">
    <tableColumn id="1" xr3:uid="{EDDA1A1C-B379-44BC-A732-3372EFE6E50C}" name="Multiple Conditions" dataDxfId="1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E0B-C791-4525-A778-E522089C397C}">
  <dimension ref="A1:K16"/>
  <sheetViews>
    <sheetView tabSelected="1" zoomScale="89" workbookViewId="0">
      <selection activeCell="O9" sqref="O9"/>
    </sheetView>
  </sheetViews>
  <sheetFormatPr defaultRowHeight="14.5"/>
  <cols>
    <col min="1" max="1" width="11.81640625" customWidth="1"/>
    <col min="2" max="2" width="15" customWidth="1"/>
    <col min="4" max="4" width="14.6328125" customWidth="1"/>
    <col min="5" max="5" width="18.08984375" customWidth="1"/>
    <col min="6" max="6" width="10.08984375" customWidth="1"/>
    <col min="7" max="7" width="13.26953125" customWidth="1"/>
  </cols>
  <sheetData>
    <row r="1" spans="1:11" ht="29">
      <c r="A1" s="1" t="s">
        <v>0</v>
      </c>
      <c r="B1" s="1" t="s">
        <v>1</v>
      </c>
      <c r="C1" s="3" t="s">
        <v>2</v>
      </c>
      <c r="D1" s="10" t="s">
        <v>60</v>
      </c>
      <c r="E1" s="10" t="s">
        <v>102</v>
      </c>
      <c r="F1" s="10" t="s">
        <v>103</v>
      </c>
      <c r="G1" s="10" t="s">
        <v>104</v>
      </c>
      <c r="H1" s="3" t="s">
        <v>3</v>
      </c>
      <c r="I1" s="3" t="s">
        <v>4</v>
      </c>
      <c r="J1" s="1" t="s">
        <v>5</v>
      </c>
      <c r="K1" s="3" t="s">
        <v>6</v>
      </c>
    </row>
    <row r="2" spans="1:11">
      <c r="A2" s="4" t="s">
        <v>7</v>
      </c>
      <c r="B2" s="4" t="s">
        <v>8</v>
      </c>
      <c r="C2" s="2">
        <v>78.456000000000003</v>
      </c>
      <c r="D2" s="2">
        <f>ROUND(Table5[[#This Row],[Marks]],1)</f>
        <v>78.5</v>
      </c>
      <c r="E2" s="2">
        <f>ROUNDUP(Table5[[#This Row],[Assignment Score]],1)</f>
        <v>85.8</v>
      </c>
      <c r="F2" s="2">
        <f>ROUNDDOWN(Table5[[#This Row],[Study Hours]],0)</f>
        <v>4</v>
      </c>
      <c r="G2" s="2">
        <f>INT(Table5[[#This Row],[Study Hours]])</f>
        <v>4</v>
      </c>
      <c r="H2" s="2">
        <v>92.5</v>
      </c>
      <c r="I2" s="2">
        <v>85.75</v>
      </c>
      <c r="J2" s="4" t="s">
        <v>9</v>
      </c>
      <c r="K2" s="2">
        <v>4.5</v>
      </c>
    </row>
    <row r="3" spans="1:11">
      <c r="A3" s="4" t="s">
        <v>10</v>
      </c>
      <c r="B3" s="4" t="s">
        <v>11</v>
      </c>
      <c r="C3" s="2">
        <v>65.789000000000001</v>
      </c>
      <c r="D3" s="2">
        <f>ROUND(Table5[[#This Row],[Marks]],1)</f>
        <v>65.8</v>
      </c>
      <c r="E3" s="2">
        <f>ROUNDUP(Table5[[#This Row],[Assignment Score]],1)</f>
        <v>72.399999999999991</v>
      </c>
      <c r="F3" s="2">
        <f>ROUNDDOWN(Table5[[#This Row],[Study Hours]],0)</f>
        <v>3</v>
      </c>
      <c r="G3" s="2">
        <f>INT(Table5[[#This Row],[Study Hours]])</f>
        <v>3</v>
      </c>
      <c r="H3" s="2">
        <v>88.2</v>
      </c>
      <c r="I3" s="2">
        <v>72.349999999999994</v>
      </c>
      <c r="J3" s="4" t="s">
        <v>9</v>
      </c>
      <c r="K3" s="2">
        <v>3.2</v>
      </c>
    </row>
    <row r="4" spans="1:11">
      <c r="A4" s="4" t="s">
        <v>12</v>
      </c>
      <c r="B4" s="4" t="s">
        <v>13</v>
      </c>
      <c r="C4" s="2">
        <v>91.233999999999995</v>
      </c>
      <c r="D4" s="2">
        <f>ROUND(Table5[[#This Row],[Marks]],1)</f>
        <v>91.2</v>
      </c>
      <c r="E4" s="2">
        <f>ROUNDUP(Table5[[#This Row],[Assignment Score]],1)</f>
        <v>94.6</v>
      </c>
      <c r="F4" s="2">
        <f>ROUNDDOWN(Table5[[#This Row],[Study Hours]],0)</f>
        <v>5</v>
      </c>
      <c r="G4" s="2">
        <f>INT(Table5[[#This Row],[Study Hours]])</f>
        <v>5</v>
      </c>
      <c r="H4" s="2">
        <v>96.8</v>
      </c>
      <c r="I4" s="2">
        <v>94.6</v>
      </c>
      <c r="J4" s="4" t="s">
        <v>9</v>
      </c>
      <c r="K4" s="2">
        <v>5.7</v>
      </c>
    </row>
    <row r="5" spans="1:11">
      <c r="A5" s="4" t="s">
        <v>14</v>
      </c>
      <c r="B5" s="4" t="s">
        <v>15</v>
      </c>
      <c r="C5" s="2">
        <v>54.677999999999997</v>
      </c>
      <c r="D5" s="2">
        <f>ROUND(Table5[[#This Row],[Marks]],1)</f>
        <v>54.7</v>
      </c>
      <c r="E5" s="2">
        <f>ROUNDUP(Table5[[#This Row],[Assignment Score]],1)</f>
        <v>61.300000000000004</v>
      </c>
      <c r="F5" s="2">
        <f>ROUNDDOWN(Table5[[#This Row],[Study Hours]],0)</f>
        <v>2</v>
      </c>
      <c r="G5" s="2">
        <f>INT(Table5[[#This Row],[Study Hours]])</f>
        <v>2</v>
      </c>
      <c r="H5" s="2">
        <v>72.400000000000006</v>
      </c>
      <c r="I5" s="2">
        <v>61.25</v>
      </c>
      <c r="J5" s="4" t="s">
        <v>16</v>
      </c>
      <c r="K5" s="2">
        <v>2.1</v>
      </c>
    </row>
    <row r="6" spans="1:11">
      <c r="A6" s="4" t="s">
        <v>17</v>
      </c>
      <c r="B6" s="4" t="s">
        <v>18</v>
      </c>
      <c r="C6" s="2">
        <v>82.344999999999999</v>
      </c>
      <c r="D6" s="2">
        <f>ROUND(Table5[[#This Row],[Marks]],1)</f>
        <v>82.3</v>
      </c>
      <c r="E6" s="2">
        <f>ROUNDUP(Table5[[#This Row],[Assignment Score]],1)</f>
        <v>88.5</v>
      </c>
      <c r="F6" s="2">
        <f>ROUNDDOWN(Table5[[#This Row],[Study Hours]],0)</f>
        <v>4</v>
      </c>
      <c r="G6" s="2">
        <f>INT(Table5[[#This Row],[Study Hours]])</f>
        <v>4</v>
      </c>
      <c r="H6" s="2">
        <v>91.6</v>
      </c>
      <c r="I6" s="2">
        <v>88.45</v>
      </c>
      <c r="J6" s="4" t="s">
        <v>9</v>
      </c>
      <c r="K6" s="2">
        <v>4.8</v>
      </c>
    </row>
    <row r="7" spans="1:11">
      <c r="A7" s="4" t="s">
        <v>19</v>
      </c>
      <c r="B7" s="4" t="s">
        <v>20</v>
      </c>
      <c r="C7" s="2">
        <v>43.567</v>
      </c>
      <c r="D7" s="2">
        <f>ROUND(Table5[[#This Row],[Marks]],1)</f>
        <v>43.6</v>
      </c>
      <c r="E7" s="2">
        <f>ROUNDUP(Table5[[#This Row],[Assignment Score]],1)</f>
        <v>55.8</v>
      </c>
      <c r="F7" s="2">
        <f>ROUNDDOWN(Table5[[#This Row],[Study Hours]],0)</f>
        <v>1</v>
      </c>
      <c r="G7" s="2">
        <f>INT(Table5[[#This Row],[Study Hours]])</f>
        <v>1</v>
      </c>
      <c r="H7" s="2">
        <v>68.5</v>
      </c>
      <c r="I7" s="2">
        <v>55.8</v>
      </c>
      <c r="J7" s="4" t="s">
        <v>16</v>
      </c>
      <c r="K7" s="2">
        <v>1.5</v>
      </c>
    </row>
    <row r="8" spans="1:11">
      <c r="A8" s="4" t="s">
        <v>21</v>
      </c>
      <c r="B8" s="4" t="s">
        <v>22</v>
      </c>
      <c r="C8" s="2">
        <v>74.891000000000005</v>
      </c>
      <c r="D8" s="2">
        <f>ROUND(Table5[[#This Row],[Marks]],1)</f>
        <v>74.900000000000006</v>
      </c>
      <c r="E8" s="2">
        <f>ROUNDUP(Table5[[#This Row],[Assignment Score]],1)</f>
        <v>79.399999999999991</v>
      </c>
      <c r="F8" s="2">
        <f>ROUNDDOWN(Table5[[#This Row],[Study Hours]],0)</f>
        <v>3</v>
      </c>
      <c r="G8" s="2">
        <f>INT(Table5[[#This Row],[Study Hours]])</f>
        <v>3</v>
      </c>
      <c r="H8" s="2">
        <v>85.7</v>
      </c>
      <c r="I8" s="2">
        <v>79.349999999999994</v>
      </c>
      <c r="J8" s="4" t="s">
        <v>9</v>
      </c>
      <c r="K8" s="2">
        <v>3.9</v>
      </c>
    </row>
    <row r="9" spans="1:11">
      <c r="A9" s="4" t="s">
        <v>23</v>
      </c>
      <c r="B9" s="4" t="s">
        <v>24</v>
      </c>
      <c r="C9" s="2">
        <v>88.765000000000001</v>
      </c>
      <c r="D9" s="2">
        <f>ROUND(Table5[[#This Row],[Marks]],1)</f>
        <v>88.8</v>
      </c>
      <c r="E9" s="2">
        <f>ROUNDUP(Table5[[#This Row],[Assignment Score]],1)</f>
        <v>91.3</v>
      </c>
      <c r="F9" s="2">
        <f>ROUNDDOWN(Table5[[#This Row],[Study Hours]],0)</f>
        <v>5</v>
      </c>
      <c r="G9" s="2">
        <f>INT(Table5[[#This Row],[Study Hours]])</f>
        <v>5</v>
      </c>
      <c r="H9" s="2">
        <v>94.3</v>
      </c>
      <c r="I9" s="2">
        <v>91.25</v>
      </c>
      <c r="J9" s="4" t="s">
        <v>9</v>
      </c>
      <c r="K9" s="2">
        <v>5.2</v>
      </c>
    </row>
    <row r="10" spans="1:11">
      <c r="A10" s="4" t="s">
        <v>25</v>
      </c>
      <c r="B10" s="4" t="s">
        <v>26</v>
      </c>
      <c r="C10" s="2">
        <v>59.432000000000002</v>
      </c>
      <c r="D10" s="2">
        <f>ROUND(Table5[[#This Row],[Marks]],1)</f>
        <v>59.4</v>
      </c>
      <c r="E10" s="2">
        <f>ROUNDUP(Table5[[#This Row],[Assignment Score]],1)</f>
        <v>64.8</v>
      </c>
      <c r="F10" s="2">
        <f>ROUNDDOWN(Table5[[#This Row],[Study Hours]],0)</f>
        <v>2</v>
      </c>
      <c r="G10" s="2">
        <f>INT(Table5[[#This Row],[Study Hours]])</f>
        <v>2</v>
      </c>
      <c r="H10" s="2">
        <v>78.900000000000006</v>
      </c>
      <c r="I10" s="2">
        <v>64.75</v>
      </c>
      <c r="J10" s="4" t="s">
        <v>16</v>
      </c>
      <c r="K10" s="2">
        <v>2.8</v>
      </c>
    </row>
    <row r="11" spans="1:11">
      <c r="A11" s="4" t="s">
        <v>27</v>
      </c>
      <c r="B11" s="4" t="s">
        <v>28</v>
      </c>
      <c r="C11" s="2">
        <v>96.876000000000005</v>
      </c>
      <c r="D11" s="2">
        <f>ROUND(Table5[[#This Row],[Marks]],1)</f>
        <v>96.9</v>
      </c>
      <c r="E11" s="2">
        <f>ROUNDUP(Table5[[#This Row],[Assignment Score]],1)</f>
        <v>97.5</v>
      </c>
      <c r="F11" s="2">
        <f>ROUNDDOWN(Table5[[#This Row],[Study Hours]],0)</f>
        <v>6</v>
      </c>
      <c r="G11" s="2">
        <f>INT(Table5[[#This Row],[Study Hours]])</f>
        <v>6</v>
      </c>
      <c r="H11" s="2">
        <v>98.2</v>
      </c>
      <c r="I11" s="2">
        <v>97.5</v>
      </c>
      <c r="J11" s="4" t="s">
        <v>9</v>
      </c>
      <c r="K11" s="2">
        <v>6.3</v>
      </c>
    </row>
    <row r="12" spans="1:11">
      <c r="A12" s="4" t="s">
        <v>29</v>
      </c>
      <c r="B12" s="4" t="s">
        <v>30</v>
      </c>
      <c r="C12" s="2">
        <v>69.543000000000006</v>
      </c>
      <c r="D12" s="2">
        <f>ROUND(Table5[[#This Row],[Marks]],1)</f>
        <v>69.5</v>
      </c>
      <c r="E12" s="2">
        <f>ROUNDUP(Table5[[#This Row],[Assignment Score]],1)</f>
        <v>74.599999999999994</v>
      </c>
      <c r="F12" s="2">
        <f>ROUNDDOWN(Table5[[#This Row],[Study Hours]],0)</f>
        <v>3</v>
      </c>
      <c r="G12" s="2">
        <f>INT(Table5[[#This Row],[Study Hours]])</f>
        <v>3</v>
      </c>
      <c r="H12" s="2">
        <v>82.5</v>
      </c>
      <c r="I12" s="2">
        <v>74.599999999999994</v>
      </c>
      <c r="J12" s="4" t="s">
        <v>9</v>
      </c>
      <c r="K12" s="2">
        <v>3.5</v>
      </c>
    </row>
    <row r="13" spans="1:11">
      <c r="A13" s="4" t="s">
        <v>31</v>
      </c>
      <c r="B13" s="4" t="s">
        <v>32</v>
      </c>
      <c r="C13" s="2">
        <v>48.219000000000001</v>
      </c>
      <c r="D13" s="2">
        <f>ROUND(Table5[[#This Row],[Marks]],1)</f>
        <v>48.2</v>
      </c>
      <c r="E13" s="2">
        <f>ROUNDUP(Table5[[#This Row],[Assignment Score]],1)</f>
        <v>52.4</v>
      </c>
      <c r="F13" s="2">
        <f>ROUNDDOWN(Table5[[#This Row],[Study Hours]],0)</f>
        <v>1</v>
      </c>
      <c r="G13" s="2">
        <f>INT(Table5[[#This Row],[Study Hours]])</f>
        <v>1</v>
      </c>
      <c r="H13" s="2">
        <v>65.8</v>
      </c>
      <c r="I13" s="2">
        <v>52.4</v>
      </c>
      <c r="J13" s="4" t="s">
        <v>16</v>
      </c>
      <c r="K13" s="2">
        <v>1.8</v>
      </c>
    </row>
    <row r="14" spans="1:11">
      <c r="A14" s="4" t="s">
        <v>33</v>
      </c>
      <c r="B14" s="4" t="s">
        <v>34</v>
      </c>
      <c r="C14" s="2">
        <v>85.677999999999997</v>
      </c>
      <c r="D14" s="2">
        <f>ROUND(Table5[[#This Row],[Marks]],1)</f>
        <v>85.7</v>
      </c>
      <c r="E14" s="2">
        <f>ROUNDUP(Table5[[#This Row],[Assignment Score]],1)</f>
        <v>89.8</v>
      </c>
      <c r="F14" s="2">
        <f>ROUNDDOWN(Table5[[#This Row],[Study Hours]],0)</f>
        <v>4</v>
      </c>
      <c r="G14" s="2">
        <f>INT(Table5[[#This Row],[Study Hours]])</f>
        <v>4</v>
      </c>
      <c r="H14" s="2">
        <v>90.4</v>
      </c>
      <c r="I14" s="2">
        <v>89.75</v>
      </c>
      <c r="J14" s="4" t="s">
        <v>9</v>
      </c>
      <c r="K14" s="2">
        <v>4.5999999999999996</v>
      </c>
    </row>
    <row r="15" spans="1:11">
      <c r="A15" s="4" t="s">
        <v>35</v>
      </c>
      <c r="B15" s="4" t="s">
        <v>36</v>
      </c>
      <c r="C15" s="2">
        <v>72.344999999999999</v>
      </c>
      <c r="D15" s="2">
        <f>ROUND(Table5[[#This Row],[Marks]],1)</f>
        <v>72.3</v>
      </c>
      <c r="E15" s="2">
        <f>ROUNDUP(Table5[[#This Row],[Assignment Score]],1)</f>
        <v>76.2</v>
      </c>
      <c r="F15" s="2">
        <f>ROUNDDOWN(Table5[[#This Row],[Study Hours]],0)</f>
        <v>3</v>
      </c>
      <c r="G15" s="2">
        <f>INT(Table5[[#This Row],[Study Hours]])</f>
        <v>3</v>
      </c>
      <c r="H15" s="2">
        <v>87.3</v>
      </c>
      <c r="I15" s="2">
        <v>76.2</v>
      </c>
      <c r="J15" s="4" t="s">
        <v>9</v>
      </c>
      <c r="K15" s="2">
        <v>3.7</v>
      </c>
    </row>
    <row r="16" spans="1:11">
      <c r="A16" s="4" t="s">
        <v>37</v>
      </c>
      <c r="B16" s="4" t="s">
        <v>38</v>
      </c>
      <c r="C16" s="2">
        <v>93.566999999999993</v>
      </c>
      <c r="D16" s="2">
        <f>ROUND(Table5[[#This Row],[Marks]],1)</f>
        <v>93.6</v>
      </c>
      <c r="E16" s="2">
        <f>ROUNDUP(Table5[[#This Row],[Assignment Score]],1)</f>
        <v>92.899999999999991</v>
      </c>
      <c r="F16" s="2">
        <f>ROUNDDOWN(Table5[[#This Row],[Study Hours]],0)</f>
        <v>5</v>
      </c>
      <c r="G16" s="2">
        <f>INT(Table5[[#This Row],[Study Hours]])</f>
        <v>5</v>
      </c>
      <c r="H16" s="2">
        <v>95.6</v>
      </c>
      <c r="I16" s="2">
        <v>92.85</v>
      </c>
      <c r="J16" s="4" t="s">
        <v>9</v>
      </c>
      <c r="K16" s="2">
        <v>5.9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03D-0A93-4A6E-95ED-1FC95CFEA11C}">
  <dimension ref="A1:E9"/>
  <sheetViews>
    <sheetView zoomScale="72" zoomScaleNormal="70" workbookViewId="0">
      <selection activeCell="K3" sqref="K3"/>
    </sheetView>
  </sheetViews>
  <sheetFormatPr defaultRowHeight="14.5"/>
  <cols>
    <col min="1" max="1" width="21.08984375" customWidth="1"/>
    <col min="2" max="2" width="27.1796875" customWidth="1"/>
    <col min="3" max="3" width="42.81640625" customWidth="1"/>
    <col min="4" max="4" width="40.453125" customWidth="1"/>
    <col min="5" max="5" width="57.8164062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ht="29">
      <c r="A2" s="8" t="s">
        <v>60</v>
      </c>
      <c r="B2" s="4" t="s">
        <v>61</v>
      </c>
      <c r="C2" s="9" t="s">
        <v>62</v>
      </c>
      <c r="D2" s="9" t="s">
        <v>63</v>
      </c>
      <c r="E2" s="4" t="s">
        <v>64</v>
      </c>
    </row>
    <row r="3" spans="1:5" ht="29">
      <c r="A3" s="8" t="s">
        <v>65</v>
      </c>
      <c r="B3" s="4" t="s">
        <v>66</v>
      </c>
      <c r="C3" s="9" t="s">
        <v>67</v>
      </c>
      <c r="D3" s="9" t="s">
        <v>68</v>
      </c>
      <c r="E3" s="4" t="s">
        <v>69</v>
      </c>
    </row>
    <row r="4" spans="1:5" ht="29">
      <c r="A4" s="8" t="s">
        <v>70</v>
      </c>
      <c r="B4" s="4" t="s">
        <v>71</v>
      </c>
      <c r="C4" s="9" t="s">
        <v>74</v>
      </c>
      <c r="D4" s="9" t="s">
        <v>75</v>
      </c>
      <c r="E4" s="4" t="s">
        <v>76</v>
      </c>
    </row>
    <row r="5" spans="1:5" ht="43.5">
      <c r="A5" s="8" t="s">
        <v>77</v>
      </c>
      <c r="B5" s="4" t="s">
        <v>78</v>
      </c>
      <c r="C5" s="9" t="s">
        <v>79</v>
      </c>
      <c r="D5" s="9" t="s">
        <v>80</v>
      </c>
      <c r="E5" s="4" t="s">
        <v>81</v>
      </c>
    </row>
    <row r="6" spans="1:5" ht="43.5">
      <c r="A6" s="8" t="s">
        <v>82</v>
      </c>
      <c r="B6" s="4" t="s">
        <v>83</v>
      </c>
      <c r="C6" s="9" t="s">
        <v>84</v>
      </c>
      <c r="D6" s="9" t="s">
        <v>85</v>
      </c>
      <c r="E6" s="4" t="s">
        <v>86</v>
      </c>
    </row>
    <row r="7" spans="1:5" ht="29">
      <c r="A7" s="8" t="s">
        <v>87</v>
      </c>
      <c r="B7" s="4" t="s">
        <v>88</v>
      </c>
      <c r="C7" s="9" t="s">
        <v>89</v>
      </c>
      <c r="D7" s="9" t="s">
        <v>90</v>
      </c>
      <c r="E7" s="4" t="s">
        <v>91</v>
      </c>
    </row>
    <row r="8" spans="1:5" ht="43.5">
      <c r="A8" s="8" t="s">
        <v>92</v>
      </c>
      <c r="B8" s="4" t="s">
        <v>93</v>
      </c>
      <c r="C8" s="9" t="s">
        <v>94</v>
      </c>
      <c r="D8" s="9" t="s">
        <v>95</v>
      </c>
      <c r="E8" s="4" t="s">
        <v>96</v>
      </c>
    </row>
    <row r="9" spans="1:5" ht="43.5">
      <c r="A9" s="8" t="s">
        <v>97</v>
      </c>
      <c r="B9" s="4" t="s">
        <v>98</v>
      </c>
      <c r="C9" s="9" t="s">
        <v>99</v>
      </c>
      <c r="D9" s="9" t="s">
        <v>100</v>
      </c>
      <c r="E9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740D-77DB-4CC5-822C-24DE785E68DF}">
  <dimension ref="A1:E31"/>
  <sheetViews>
    <sheetView zoomScale="117" workbookViewId="0">
      <selection activeCell="H8" sqref="H8"/>
    </sheetView>
  </sheetViews>
  <sheetFormatPr defaultRowHeight="14.5"/>
  <cols>
    <col min="1" max="1" width="105.1796875" customWidth="1"/>
  </cols>
  <sheetData>
    <row r="1" spans="1:1">
      <c r="A1" s="5" t="s">
        <v>39</v>
      </c>
    </row>
    <row r="2" spans="1:1">
      <c r="A2" s="6"/>
    </row>
    <row r="3" spans="1:1">
      <c r="A3" s="6" t="s">
        <v>40</v>
      </c>
    </row>
    <row r="4" spans="1:1">
      <c r="A4" s="6" t="s">
        <v>41</v>
      </c>
    </row>
    <row r="5" spans="1:1">
      <c r="A5" s="6" t="s">
        <v>42</v>
      </c>
    </row>
    <row r="6" spans="1:1">
      <c r="A6" s="6" t="s">
        <v>43</v>
      </c>
    </row>
    <row r="8" spans="1:1">
      <c r="A8" s="5" t="s">
        <v>72</v>
      </c>
    </row>
    <row r="9" spans="1:1">
      <c r="A9" t="s">
        <v>44</v>
      </c>
    </row>
    <row r="10" spans="1:1">
      <c r="A10" t="s">
        <v>45</v>
      </c>
    </row>
    <row r="12" spans="1:1">
      <c r="A12" s="5" t="s">
        <v>73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s="6"/>
    </row>
    <row r="17" spans="1:5">
      <c r="A17" s="6" t="s">
        <v>49</v>
      </c>
    </row>
    <row r="18" spans="1:5">
      <c r="A18" s="6" t="s">
        <v>50</v>
      </c>
    </row>
    <row r="19" spans="1:5">
      <c r="A19" s="6" t="s">
        <v>51</v>
      </c>
    </row>
    <row r="20" spans="1:5">
      <c r="A20" s="6" t="s">
        <v>52</v>
      </c>
    </row>
    <row r="21" spans="1:5">
      <c r="A21" s="6" t="s">
        <v>53</v>
      </c>
    </row>
    <row r="22" spans="1:5">
      <c r="A22" s="6" t="s">
        <v>54</v>
      </c>
    </row>
    <row r="26" spans="1:5" ht="17.5">
      <c r="A26" s="7"/>
    </row>
    <row r="28" spans="1:5">
      <c r="A28" s="1"/>
      <c r="B28" s="1"/>
      <c r="C28" s="1"/>
      <c r="D28" s="1"/>
      <c r="E28" s="1"/>
    </row>
    <row r="29" spans="1:5">
      <c r="A29" s="8"/>
      <c r="B29" s="4"/>
      <c r="C29" s="9"/>
      <c r="D29" s="9"/>
      <c r="E29" s="4"/>
    </row>
    <row r="30" spans="1:5">
      <c r="A30" s="8"/>
      <c r="B30" s="4"/>
      <c r="C30" s="9"/>
      <c r="D30" s="9"/>
      <c r="E30" s="4"/>
    </row>
    <row r="31" spans="1:5">
      <c r="A31" s="8"/>
      <c r="B31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NOTES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safvansanukk10@gmail.com</cp:lastModifiedBy>
  <dcterms:created xsi:type="dcterms:W3CDTF">2026-09-03T05:07:24Z</dcterms:created>
  <dcterms:modified xsi:type="dcterms:W3CDTF">2026-09-03T07:42:39Z</dcterms:modified>
</cp:coreProperties>
</file>