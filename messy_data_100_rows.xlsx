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5ba9f4b5e1762809/Desktop/DATA ANALYSIS/"/>
    </mc:Choice>
  </mc:AlternateContent>
  <xr:revisionPtr revIDLastSave="3" documentId="8_{BF8E26C2-F333-46DE-BFD2-424EBEE40BCD}" xr6:coauthVersionLast="47" xr6:coauthVersionMax="47" xr10:uidLastSave="{DCC1D8ED-03FF-44F7-96D5-FC5865227261}"/>
  <bookViews>
    <workbookView xWindow="-110" yWindow="-110" windowWidth="19420" windowHeight="10300" activeTab="1" xr2:uid="{00000000-000D-0000-FFFF-FFFF00000000}"/>
  </bookViews>
  <sheets>
    <sheet name="Table2" sheetId="2" r:id="rId1"/>
    <sheet name="Sheet1" sheetId="3" r:id="rId2"/>
    <sheet name="MessyData" sheetId="1" r:id="rId3"/>
  </sheets>
  <definedNames>
    <definedName name="ExternalData_1" localSheetId="0" hidden="1">Table2!$A$1:$J$101</definedName>
    <definedName name="Slicer_City">#N/A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B8DCF8-FF2F-4228-80D0-8965B62CBF02}"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<sst xmlns="http://schemas.openxmlformats.org/spreadsheetml/2006/main" count="1755" uniqueCount="478">
  <si>
    <t>ID</t>
  </si>
  <si>
    <t>Name</t>
  </si>
  <si>
    <t>Date</t>
  </si>
  <si>
    <t>Phone</t>
  </si>
  <si>
    <t>Email</t>
  </si>
  <si>
    <t>Amount</t>
  </si>
  <si>
    <t>City</t>
  </si>
  <si>
    <t>Gender</t>
  </si>
  <si>
    <t>Product</t>
  </si>
  <si>
    <t>Status</t>
  </si>
  <si>
    <t xml:space="preserve"> 101 </t>
  </si>
  <si>
    <t>chris</t>
  </si>
  <si>
    <t>March 9 2026</t>
  </si>
  <si>
    <t>9897989899</t>
  </si>
  <si>
    <t>chris@gmail</t>
  </si>
  <si>
    <t>3,232</t>
  </si>
  <si>
    <t>kochi</t>
  </si>
  <si>
    <t>m</t>
  </si>
  <si>
    <t>Tablet</t>
  </si>
  <si>
    <t>completed</t>
  </si>
  <si>
    <t xml:space="preserve"> 102 </t>
  </si>
  <si>
    <t>Sarah Lee</t>
  </si>
  <si>
    <t>7 mar 2026</t>
  </si>
  <si>
    <t>95583 86023</t>
  </si>
  <si>
    <t>sarahlee@gmail</t>
  </si>
  <si>
    <t>1241rs</t>
  </si>
  <si>
    <t>Ahmedabad</t>
  </si>
  <si>
    <t>male</t>
  </si>
  <si>
    <t>done</t>
  </si>
  <si>
    <t xml:space="preserve"> 103 </t>
  </si>
  <si>
    <t>MICHAEL</t>
  </si>
  <si>
    <t>10/03/26</t>
  </si>
  <si>
    <t>9327819786</t>
  </si>
  <si>
    <t>michael@mail..com</t>
  </si>
  <si>
    <t>2877rs</t>
  </si>
  <si>
    <t>Delhi</t>
  </si>
  <si>
    <t>MOBILE</t>
  </si>
  <si>
    <t>Pending</t>
  </si>
  <si>
    <t xml:space="preserve"> 104 </t>
  </si>
  <si>
    <t>john doe</t>
  </si>
  <si>
    <t>12-03-2026</t>
  </si>
  <si>
    <t>982899679</t>
  </si>
  <si>
    <t>johndoe@@mail.com</t>
  </si>
  <si>
    <t>₹4578</t>
  </si>
  <si>
    <t>laptop</t>
  </si>
  <si>
    <t>pending</t>
  </si>
  <si>
    <t xml:space="preserve"> 105 </t>
  </si>
  <si>
    <t>emily</t>
  </si>
  <si>
    <t>Mar 14 2026</t>
  </si>
  <si>
    <t>98607 72485</t>
  </si>
  <si>
    <t>emily@gmail.com</t>
  </si>
  <si>
    <t>3,755</t>
  </si>
  <si>
    <t>Bangalore</t>
  </si>
  <si>
    <t>Female</t>
  </si>
  <si>
    <t xml:space="preserve"> 106 </t>
  </si>
  <si>
    <t>08-03-2026</t>
  </si>
  <si>
    <t>9712224478</t>
  </si>
  <si>
    <t>sarahlee@mail..com</t>
  </si>
  <si>
    <t>4190rs</t>
  </si>
  <si>
    <t>mumbai</t>
  </si>
  <si>
    <t>F</t>
  </si>
  <si>
    <t>Completed</t>
  </si>
  <si>
    <t xml:space="preserve"> 107 </t>
  </si>
  <si>
    <t>98751 84380</t>
  </si>
  <si>
    <t>chris@@mail.com</t>
  </si>
  <si>
    <t>$2058</t>
  </si>
  <si>
    <t>pune</t>
  </si>
  <si>
    <t>M</t>
  </si>
  <si>
    <t>phone</t>
  </si>
  <si>
    <t xml:space="preserve"> 108 </t>
  </si>
  <si>
    <t>94285 20226</t>
  </si>
  <si>
    <t>michael@gmail</t>
  </si>
  <si>
    <t>4970rs</t>
  </si>
  <si>
    <t>Male</t>
  </si>
  <si>
    <t>Laptop</t>
  </si>
  <si>
    <t xml:space="preserve"> 109 </t>
  </si>
  <si>
    <t>11 mar 26</t>
  </si>
  <si>
    <t>9321418377x</t>
  </si>
  <si>
    <t>sarahlee@gmail.com</t>
  </si>
  <si>
    <t>4108</t>
  </si>
  <si>
    <t>f</t>
  </si>
  <si>
    <t xml:space="preserve"> 110 </t>
  </si>
  <si>
    <t>Alex</t>
  </si>
  <si>
    <t>952573594</t>
  </si>
  <si>
    <t>alex@mail..com</t>
  </si>
  <si>
    <t>$2697</t>
  </si>
  <si>
    <t>Kolkata</t>
  </si>
  <si>
    <t xml:space="preserve"> 111 </t>
  </si>
  <si>
    <t>abc9088634</t>
  </si>
  <si>
    <t>emily@mail..com</t>
  </si>
  <si>
    <t>2,226</t>
  </si>
  <si>
    <t xml:space="preserve"> 112 </t>
  </si>
  <si>
    <t xml:space="preserve"> JANE DOE</t>
  </si>
  <si>
    <t>16 mar 2026</t>
  </si>
  <si>
    <t>93273 74620</t>
  </si>
  <si>
    <t>janedoe@@mail.com</t>
  </si>
  <si>
    <t>2141rs</t>
  </si>
  <si>
    <t>HYDERABAD</t>
  </si>
  <si>
    <t>Mobile</t>
  </si>
  <si>
    <t xml:space="preserve"> 113 </t>
  </si>
  <si>
    <t>909030091</t>
  </si>
  <si>
    <t>$4944</t>
  </si>
  <si>
    <t xml:space="preserve"> 114 </t>
  </si>
  <si>
    <t>ROBERT</t>
  </si>
  <si>
    <t>949786321</t>
  </si>
  <si>
    <t>robert@gmail.com</t>
  </si>
  <si>
    <t>5,223</t>
  </si>
  <si>
    <t xml:space="preserve"> 115 </t>
  </si>
  <si>
    <t>92071 71738</t>
  </si>
  <si>
    <t>5,566</t>
  </si>
  <si>
    <t xml:space="preserve"> 116 </t>
  </si>
  <si>
    <t>95607 97352</t>
  </si>
  <si>
    <t>chris@mail..com</t>
  </si>
  <si>
    <t>₹2080</t>
  </si>
  <si>
    <t>Jaipur</t>
  </si>
  <si>
    <t xml:space="preserve"> 117 </t>
  </si>
  <si>
    <t>9986023765x</t>
  </si>
  <si>
    <t>3,548</t>
  </si>
  <si>
    <t xml:space="preserve"> 118 </t>
  </si>
  <si>
    <t>13/03/2026</t>
  </si>
  <si>
    <t>abc9239533</t>
  </si>
  <si>
    <t>2,991</t>
  </si>
  <si>
    <t xml:space="preserve"> 119 </t>
  </si>
  <si>
    <t>9309635814</t>
  </si>
  <si>
    <t>₹3238</t>
  </si>
  <si>
    <t>tablet</t>
  </si>
  <si>
    <t xml:space="preserve"> 120 </t>
  </si>
  <si>
    <t>9587836292</t>
  </si>
  <si>
    <t>5,291</t>
  </si>
  <si>
    <t>female</t>
  </si>
  <si>
    <t xml:space="preserve"> 121 </t>
  </si>
  <si>
    <t>91664 36490</t>
  </si>
  <si>
    <t>4,925</t>
  </si>
  <si>
    <t xml:space="preserve"> 122 </t>
  </si>
  <si>
    <t>93021 12943</t>
  </si>
  <si>
    <t>5,627</t>
  </si>
  <si>
    <t>Complete</t>
  </si>
  <si>
    <t xml:space="preserve"> 123 </t>
  </si>
  <si>
    <t>Anna Smith</t>
  </si>
  <si>
    <t>9651517836</t>
  </si>
  <si>
    <t>annasmith@gmail.com</t>
  </si>
  <si>
    <t>$2836</t>
  </si>
  <si>
    <t xml:space="preserve"> 124 </t>
  </si>
  <si>
    <t>david</t>
  </si>
  <si>
    <t>9456450560</t>
  </si>
  <si>
    <t>david@gmail.com</t>
  </si>
  <si>
    <t>3540rs</t>
  </si>
  <si>
    <t xml:space="preserve"> 125 </t>
  </si>
  <si>
    <t>9490687752x</t>
  </si>
  <si>
    <t>₹4899</t>
  </si>
  <si>
    <t xml:space="preserve"> 126 </t>
  </si>
  <si>
    <t>9026633344x</t>
  </si>
  <si>
    <t>michael@@mail.com</t>
  </si>
  <si>
    <t>1,311</t>
  </si>
  <si>
    <t xml:space="preserve"> 127 </t>
  </si>
  <si>
    <t>9822113157</t>
  </si>
  <si>
    <t>david@@mail.com</t>
  </si>
  <si>
    <t>$4303</t>
  </si>
  <si>
    <t>chennai</t>
  </si>
  <si>
    <t xml:space="preserve"> 128 </t>
  </si>
  <si>
    <t>15-03-26</t>
  </si>
  <si>
    <t>abc9926148</t>
  </si>
  <si>
    <t>4510</t>
  </si>
  <si>
    <t xml:space="preserve"> 129 </t>
  </si>
  <si>
    <t>9840168459x</t>
  </si>
  <si>
    <t>$1605</t>
  </si>
  <si>
    <t xml:space="preserve"> 130 </t>
  </si>
  <si>
    <t>977876612</t>
  </si>
  <si>
    <t>janedoe@gmail.com</t>
  </si>
  <si>
    <t>4456rs</t>
  </si>
  <si>
    <t xml:space="preserve"> 131 </t>
  </si>
  <si>
    <t>abc9006350</t>
  </si>
  <si>
    <t>chris@gmail.com</t>
  </si>
  <si>
    <t>3,139</t>
  </si>
  <si>
    <t xml:space="preserve"> 132 </t>
  </si>
  <si>
    <t>93574 46896</t>
  </si>
  <si>
    <t>2125rs</t>
  </si>
  <si>
    <t xml:space="preserve"> 133 </t>
  </si>
  <si>
    <t>9738174111x</t>
  </si>
  <si>
    <t>johndoe@mail..com</t>
  </si>
  <si>
    <t>5,414</t>
  </si>
  <si>
    <t xml:space="preserve"> 134 </t>
  </si>
  <si>
    <t>9082092328x</t>
  </si>
  <si>
    <t>3078rs</t>
  </si>
  <si>
    <t xml:space="preserve"> 135 </t>
  </si>
  <si>
    <t>9333438882</t>
  </si>
  <si>
    <t>3180</t>
  </si>
  <si>
    <t xml:space="preserve"> 136 </t>
  </si>
  <si>
    <t>9460696530</t>
  </si>
  <si>
    <t>alex@@mail.com</t>
  </si>
  <si>
    <t>$1284</t>
  </si>
  <si>
    <t xml:space="preserve"> 137 </t>
  </si>
  <si>
    <t>9872943352</t>
  </si>
  <si>
    <t>david@mail..com</t>
  </si>
  <si>
    <t>4441</t>
  </si>
  <si>
    <t xml:space="preserve"> 138 </t>
  </si>
  <si>
    <t>9859265079</t>
  </si>
  <si>
    <t>janedoe@gmail</t>
  </si>
  <si>
    <t>3970rs</t>
  </si>
  <si>
    <t xml:space="preserve"> 139 </t>
  </si>
  <si>
    <t>9263915681x</t>
  </si>
  <si>
    <t>$3073</t>
  </si>
  <si>
    <t xml:space="preserve"> 140 </t>
  </si>
  <si>
    <t>9156822905</t>
  </si>
  <si>
    <t>annasmith@@mail.com</t>
  </si>
  <si>
    <t>4,641</t>
  </si>
  <si>
    <t xml:space="preserve"> 141 </t>
  </si>
  <si>
    <t>9891611996x</t>
  </si>
  <si>
    <t>annasmith@gmail</t>
  </si>
  <si>
    <t>5,876</t>
  </si>
  <si>
    <t xml:space="preserve"> 142 </t>
  </si>
  <si>
    <t>9012677101</t>
  </si>
  <si>
    <t>1628</t>
  </si>
  <si>
    <t xml:space="preserve"> 143 </t>
  </si>
  <si>
    <t>92252 84756</t>
  </si>
  <si>
    <t>$1698</t>
  </si>
  <si>
    <t xml:space="preserve"> 144 </t>
  </si>
  <si>
    <t>abc9869353</t>
  </si>
  <si>
    <t>$1112</t>
  </si>
  <si>
    <t xml:space="preserve"> 145 </t>
  </si>
  <si>
    <t>abc9805601</t>
  </si>
  <si>
    <t>johndoe@gmail.com</t>
  </si>
  <si>
    <t>3852rs</t>
  </si>
  <si>
    <t xml:space="preserve"> 146 </t>
  </si>
  <si>
    <t>abc9109926</t>
  </si>
  <si>
    <t>1207rs</t>
  </si>
  <si>
    <t xml:space="preserve"> 147 </t>
  </si>
  <si>
    <t>abc9438339</t>
  </si>
  <si>
    <t>$4880</t>
  </si>
  <si>
    <t xml:space="preserve"> 148 </t>
  </si>
  <si>
    <t>9524842042x</t>
  </si>
  <si>
    <t>1528</t>
  </si>
  <si>
    <t xml:space="preserve"> 149 </t>
  </si>
  <si>
    <t>903145191</t>
  </si>
  <si>
    <t>5,787</t>
  </si>
  <si>
    <t xml:space="preserve"> 150 </t>
  </si>
  <si>
    <t>9506620655x</t>
  </si>
  <si>
    <t>$3569</t>
  </si>
  <si>
    <t xml:space="preserve"> 151 </t>
  </si>
  <si>
    <t>abc9386610</t>
  </si>
  <si>
    <t>johndoe@gmail</t>
  </si>
  <si>
    <t>3625</t>
  </si>
  <si>
    <t xml:space="preserve"> 152 </t>
  </si>
  <si>
    <t>9890682062x</t>
  </si>
  <si>
    <t>3,493</t>
  </si>
  <si>
    <t xml:space="preserve"> 153 </t>
  </si>
  <si>
    <t>9389815662x</t>
  </si>
  <si>
    <t>4040rs</t>
  </si>
  <si>
    <t xml:space="preserve"> 154 </t>
  </si>
  <si>
    <t>9267138230</t>
  </si>
  <si>
    <t>$3859</t>
  </si>
  <si>
    <t xml:space="preserve"> 155 </t>
  </si>
  <si>
    <t>929144428</t>
  </si>
  <si>
    <t>robert@mail..com</t>
  </si>
  <si>
    <t>4469rs</t>
  </si>
  <si>
    <t xml:space="preserve"> 156 </t>
  </si>
  <si>
    <t>9154731027</t>
  </si>
  <si>
    <t>2501rs</t>
  </si>
  <si>
    <t xml:space="preserve"> 157 </t>
  </si>
  <si>
    <t>abc9153895</t>
  </si>
  <si>
    <t>3837</t>
  </si>
  <si>
    <t xml:space="preserve"> 158 </t>
  </si>
  <si>
    <t>9744320428x</t>
  </si>
  <si>
    <t>sarahlee@@mail.com</t>
  </si>
  <si>
    <t>3912</t>
  </si>
  <si>
    <t xml:space="preserve"> 159 </t>
  </si>
  <si>
    <t>9153330970x</t>
  </si>
  <si>
    <t>3306rs</t>
  </si>
  <si>
    <t xml:space="preserve"> 160 </t>
  </si>
  <si>
    <t>95323 51903</t>
  </si>
  <si>
    <t>alex@gmail</t>
  </si>
  <si>
    <t>$4193</t>
  </si>
  <si>
    <t xml:space="preserve"> 161 </t>
  </si>
  <si>
    <t>abc9105888</t>
  </si>
  <si>
    <t>$2459</t>
  </si>
  <si>
    <t xml:space="preserve"> 162 </t>
  </si>
  <si>
    <t>9515621272</t>
  </si>
  <si>
    <t>3,148</t>
  </si>
  <si>
    <t xml:space="preserve"> 163 </t>
  </si>
  <si>
    <t>9812166804</t>
  </si>
  <si>
    <t>4108rs</t>
  </si>
  <si>
    <t xml:space="preserve"> 164 </t>
  </si>
  <si>
    <t>96411 24760</t>
  </si>
  <si>
    <t>₹4939</t>
  </si>
  <si>
    <t xml:space="preserve"> 165 </t>
  </si>
  <si>
    <t>991849737</t>
  </si>
  <si>
    <t>$2240</t>
  </si>
  <si>
    <t xml:space="preserve"> 166 </t>
  </si>
  <si>
    <t>97542 13224</t>
  </si>
  <si>
    <t>4033</t>
  </si>
  <si>
    <t xml:space="preserve"> 167 </t>
  </si>
  <si>
    <t>9839108465</t>
  </si>
  <si>
    <t>alex@gmail.com</t>
  </si>
  <si>
    <t>$4553</t>
  </si>
  <si>
    <t xml:space="preserve"> 168 </t>
  </si>
  <si>
    <t>985902257</t>
  </si>
  <si>
    <t>₹3490</t>
  </si>
  <si>
    <t xml:space="preserve"> 169 </t>
  </si>
  <si>
    <t>923355790</t>
  </si>
  <si>
    <t>₹2519</t>
  </si>
  <si>
    <t xml:space="preserve"> 170 </t>
  </si>
  <si>
    <t>abc9070710</t>
  </si>
  <si>
    <t>3,604</t>
  </si>
  <si>
    <t xml:space="preserve"> 171 </t>
  </si>
  <si>
    <t>92787 52212</t>
  </si>
  <si>
    <t>4,843</t>
  </si>
  <si>
    <t xml:space="preserve"> 172 </t>
  </si>
  <si>
    <t>9394997205</t>
  </si>
  <si>
    <t>4338rs</t>
  </si>
  <si>
    <t xml:space="preserve"> 173 </t>
  </si>
  <si>
    <t>9085162705x</t>
  </si>
  <si>
    <t>emily@@mail.com</t>
  </si>
  <si>
    <t>1068</t>
  </si>
  <si>
    <t xml:space="preserve"> 174 </t>
  </si>
  <si>
    <t>928555047</t>
  </si>
  <si>
    <t>3191</t>
  </si>
  <si>
    <t xml:space="preserve"> 175 </t>
  </si>
  <si>
    <t>997871767</t>
  </si>
  <si>
    <t>4110rs</t>
  </si>
  <si>
    <t xml:space="preserve"> 176 </t>
  </si>
  <si>
    <t>970581993</t>
  </si>
  <si>
    <t>$3853</t>
  </si>
  <si>
    <t xml:space="preserve"> 177 </t>
  </si>
  <si>
    <t>92194 28529</t>
  </si>
  <si>
    <t>2,190</t>
  </si>
  <si>
    <t xml:space="preserve"> 178 </t>
  </si>
  <si>
    <t>9013776718</t>
  </si>
  <si>
    <t>$2099</t>
  </si>
  <si>
    <t xml:space="preserve"> 179 </t>
  </si>
  <si>
    <t>903189690</t>
  </si>
  <si>
    <t>2129</t>
  </si>
  <si>
    <t xml:space="preserve"> 180 </t>
  </si>
  <si>
    <t>91274 19556</t>
  </si>
  <si>
    <t>1650rs</t>
  </si>
  <si>
    <t xml:space="preserve"> 181 </t>
  </si>
  <si>
    <t>92962 13171</t>
  </si>
  <si>
    <t>5,634</t>
  </si>
  <si>
    <t xml:space="preserve"> 182 </t>
  </si>
  <si>
    <t>93433 20973</t>
  </si>
  <si>
    <t>1863</t>
  </si>
  <si>
    <t xml:space="preserve"> 183 </t>
  </si>
  <si>
    <t>90969 13093</t>
  </si>
  <si>
    <t>3216rs</t>
  </si>
  <si>
    <t xml:space="preserve"> 184 </t>
  </si>
  <si>
    <t>9373790314</t>
  </si>
  <si>
    <t>3960</t>
  </si>
  <si>
    <t xml:space="preserve"> 185 </t>
  </si>
  <si>
    <t>918824249</t>
  </si>
  <si>
    <t>1,939</t>
  </si>
  <si>
    <t xml:space="preserve"> 186 </t>
  </si>
  <si>
    <t>abc9561515</t>
  </si>
  <si>
    <t>$3370</t>
  </si>
  <si>
    <t xml:space="preserve"> 187 </t>
  </si>
  <si>
    <t>98015 79006</t>
  </si>
  <si>
    <t>4399</t>
  </si>
  <si>
    <t xml:space="preserve"> 188 </t>
  </si>
  <si>
    <t>9453963843</t>
  </si>
  <si>
    <t>₹4600</t>
  </si>
  <si>
    <t xml:space="preserve"> 189 </t>
  </si>
  <si>
    <t>929086689</t>
  </si>
  <si>
    <t>3724rs</t>
  </si>
  <si>
    <t xml:space="preserve"> 190 </t>
  </si>
  <si>
    <t>9494960671x</t>
  </si>
  <si>
    <t>$4964</t>
  </si>
  <si>
    <t xml:space="preserve"> 191 </t>
  </si>
  <si>
    <t>abc9194067</t>
  </si>
  <si>
    <t>1860</t>
  </si>
  <si>
    <t xml:space="preserve"> 192 </t>
  </si>
  <si>
    <t>9168078316x</t>
  </si>
  <si>
    <t>4297</t>
  </si>
  <si>
    <t xml:space="preserve"> 193 </t>
  </si>
  <si>
    <t>9941979625</t>
  </si>
  <si>
    <t>3,333</t>
  </si>
  <si>
    <t xml:space="preserve"> 194 </t>
  </si>
  <si>
    <t>9210958992x</t>
  </si>
  <si>
    <t>$2933</t>
  </si>
  <si>
    <t xml:space="preserve"> 195 </t>
  </si>
  <si>
    <t>90661 63301</t>
  </si>
  <si>
    <t>4870</t>
  </si>
  <si>
    <t xml:space="preserve"> 196 </t>
  </si>
  <si>
    <t>982522784</t>
  </si>
  <si>
    <t>₹3051</t>
  </si>
  <si>
    <t xml:space="preserve"> 197 </t>
  </si>
  <si>
    <t>998012810</t>
  </si>
  <si>
    <t>robert@@mail.com</t>
  </si>
  <si>
    <t>₹1018</t>
  </si>
  <si>
    <t xml:space="preserve"> 198 </t>
  </si>
  <si>
    <t>9491692372x</t>
  </si>
  <si>
    <t>david@gmail</t>
  </si>
  <si>
    <t>₹4753</t>
  </si>
  <si>
    <t xml:space="preserve"> 199 </t>
  </si>
  <si>
    <t>abc9796360</t>
  </si>
  <si>
    <t>5,339</t>
  </si>
  <si>
    <t xml:space="preserve"> 200 </t>
  </si>
  <si>
    <t>95475 91253</t>
  </si>
  <si>
    <t>annasmith@mail..com</t>
  </si>
  <si>
    <t>1,252</t>
  </si>
  <si>
    <t>Chris</t>
  </si>
  <si>
    <t>Kochi</t>
  </si>
  <si>
    <t>9558386023</t>
  </si>
  <si>
    <t>Michael</t>
  </si>
  <si>
    <t>michael@gmail.com</t>
  </si>
  <si>
    <t>John Doe</t>
  </si>
  <si>
    <t>Emily</t>
  </si>
  <si>
    <t>9860772485</t>
  </si>
  <si>
    <t>Mumbai</t>
  </si>
  <si>
    <t>9875184380</t>
  </si>
  <si>
    <t>Pune</t>
  </si>
  <si>
    <t>9428520226</t>
  </si>
  <si>
    <t>9321418377</t>
  </si>
  <si>
    <t>9088634</t>
  </si>
  <si>
    <t>Jane Doe</t>
  </si>
  <si>
    <t>9327374620</t>
  </si>
  <si>
    <t>Hyderabad</t>
  </si>
  <si>
    <t>Robert</t>
  </si>
  <si>
    <t>9207171738</t>
  </si>
  <si>
    <t>9560797352</t>
  </si>
  <si>
    <t>9986023765</t>
  </si>
  <si>
    <t>9239533</t>
  </si>
  <si>
    <t>9166436490</t>
  </si>
  <si>
    <t>9302112943</t>
  </si>
  <si>
    <t>David</t>
  </si>
  <si>
    <t>9490687752</t>
  </si>
  <si>
    <t>9026633344</t>
  </si>
  <si>
    <t>Chennai</t>
  </si>
  <si>
    <t>9926148</t>
  </si>
  <si>
    <t>9840168459</t>
  </si>
  <si>
    <t>9006350</t>
  </si>
  <si>
    <t>9357446896</t>
  </si>
  <si>
    <t>9738174111</t>
  </si>
  <si>
    <t>9082092328</t>
  </si>
  <si>
    <t>9263915681</t>
  </si>
  <si>
    <t>9891611996</t>
  </si>
  <si>
    <t>9225284756</t>
  </si>
  <si>
    <t>9869353</t>
  </si>
  <si>
    <t>9805601</t>
  </si>
  <si>
    <t>9109926</t>
  </si>
  <si>
    <t>9438339</t>
  </si>
  <si>
    <t>9524842042</t>
  </si>
  <si>
    <t>9506620655</t>
  </si>
  <si>
    <t>9386610</t>
  </si>
  <si>
    <t>9890682062</t>
  </si>
  <si>
    <t>9389815662</t>
  </si>
  <si>
    <t>9153895</t>
  </si>
  <si>
    <t>9744320428</t>
  </si>
  <si>
    <t>9153330970</t>
  </si>
  <si>
    <t>9532351903</t>
  </si>
  <si>
    <t>9105888</t>
  </si>
  <si>
    <t>9641124760</t>
  </si>
  <si>
    <t>9754213224</t>
  </si>
  <si>
    <t>9070710</t>
  </si>
  <si>
    <t>9278752212</t>
  </si>
  <si>
    <t>9085162705</t>
  </si>
  <si>
    <t>9219428529</t>
  </si>
  <si>
    <t>9127419556</t>
  </si>
  <si>
    <t>9296213171</t>
  </si>
  <si>
    <t>9343320973</t>
  </si>
  <si>
    <t>9096913093</t>
  </si>
  <si>
    <t>9561515</t>
  </si>
  <si>
    <t>9801579006</t>
  </si>
  <si>
    <t>9494960671</t>
  </si>
  <si>
    <t>9194067</t>
  </si>
  <si>
    <t>9168078316</t>
  </si>
  <si>
    <t>9210958992</t>
  </si>
  <si>
    <t>9066163301</t>
  </si>
  <si>
    <t>9491692372</t>
  </si>
  <si>
    <t>9796360</t>
  </si>
  <si>
    <t>9547591253</t>
  </si>
  <si>
    <t>KPI</t>
  </si>
  <si>
    <t>Row Labels</t>
  </si>
  <si>
    <t>Grand Total</t>
  </si>
  <si>
    <t>Sum of Amount</t>
  </si>
  <si>
    <t>PRODUCT</t>
  </si>
  <si>
    <t>MOST AMOUNT SPENT BY GENDER</t>
  </si>
  <si>
    <t>FEMALE</t>
  </si>
  <si>
    <t>MOST SELLING PRICE</t>
  </si>
  <si>
    <t>Count of City</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</si>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</sst>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0">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[messy_data_100_rows.xlsx]Table2!PivotTable5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a:t>
            </a:r>
            <a:r>
              <a:rPr lang="en-US" sz="1400" baseline="0"/>
              <a:t> AMOUNT BY CITY</a:t>
            </a:r>
            <a:endParaRPr lang="en-US" sz="1400"/>
          </a:p>
        </c:rich>
      </c:tx>
      <c:overlay val="0"/>
      <c:spPr>
        <a:solidFill>
          <a:schemeClr val="accent6"/>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Table2!$U$6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Table2!$T$7:$T$17</c:f>
              <c:strCache>
                <c:ptCount val="10"/>
                <c:pt idx="0">
                  <c:v>Ahmedabad</c:v>
                </c:pt>
                <c:pt idx="1">
                  <c:v>Bangalore</c:v>
                </c:pt>
                <c:pt idx="2">
                  <c:v>Chennai</c:v>
                </c:pt>
                <c:pt idx="3">
                  <c:v>Delhi</c:v>
                </c:pt>
                <c:pt idx="4">
                  <c:v>Hyderabad</c:v>
                </c:pt>
                <c:pt idx="5">
                  <c:v>Jaipur</c:v>
                </c:pt>
                <c:pt idx="6">
                  <c:v>Kochi</c:v>
                </c:pt>
                <c:pt idx="7">
                  <c:v>Kolkata</c:v>
                </c:pt>
                <c:pt idx="8">
                  <c:v>Mumbai</c:v>
                </c:pt>
                <c:pt idx="9">
                  <c:v>Pune</c:v>
                </c:pt>
              </c:strCache>
            </c:strRef>
          </c:cat>
          <c:val>
            <c:numRef>
              <c:f>Table2!$U$7:$U$17</c:f>
              <c:numCache>
                <c:formatCode>General</c:formatCode>
                <c:ptCount val="10"/>
                <c:pt idx="0">
                  <c:v>28757</c:v>
                </c:pt>
                <c:pt idx="1">
                  <c:v>30716</c:v>
                </c:pt>
                <c:pt idx="2">
                  <c:v>31309</c:v>
                </c:pt>
                <c:pt idx="3">
                  <c:v>51059</c:v>
                </c:pt>
                <c:pt idx="4">
                  <c:v>34168</c:v>
                </c:pt>
                <c:pt idx="5">
                  <c:v>21605</c:v>
                </c:pt>
                <c:pt idx="6">
                  <c:v>21089</c:v>
                </c:pt>
                <c:pt idx="7">
                  <c:v>47578</c:v>
                </c:pt>
                <c:pt idx="8">
                  <c:v>26051</c:v>
                </c:pt>
                <c:pt idx="9">
                  <c:v>54290</c:v>
                </c:pt>
              </c:numCache>
            </c:numRef>
          </c:val>
          <c:smooth val="0"/>
          <c:extLst>
            <c:ext xmlns:c16="http://schemas.microsoft.com/office/drawing/2014/chart" uri="{C3380CC4-5D6E-409C-BE32-E72D297353CC}">
              <c16:uniqueId val="{00000000-FAA9-4E85-98BC-D5F86FDDCC99}"/>
            </c:ext>
          </c:extLst>
        </c:ser>
        <c:dLbls>
          <c:showLegendKey val="0"/>
          <c:showVal val="0"/>
          <c:showCatName val="0"/>
          <c:showSerName val="0"/>
          <c:showPercent val="0"/>
          <c:showBubbleSize val="0"/>
        </c:dLbls>
        <c:marker val="1"/>
        <c:smooth val="0"/>
        <c:axId val="870189119"/>
        <c:axId val="870184799"/>
      </c:lineChart>
      <c:catAx>
        <c:axId val="870189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184799"/>
        <c:crosses val="autoZero"/>
        <c:auto val="1"/>
        <c:lblAlgn val="ctr"/>
        <c:lblOffset val="100"/>
        <c:noMultiLvlLbl val="0"/>
      </c:catAx>
      <c:valAx>
        <c:axId val="870184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1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8900000" algn="bl"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[messy_data_100_rows.xlsx]Table2!PivotTable2</c:name>
    <c:fmtId val="3"/>
  </c:pivotSource>
  <c:chart>
    <c:title>
      <c:tx>
        <c:rich>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r>
              <a:rPr lang="en-US"/>
              <a:t>PRODUCT BY SELLING</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blipFill>
          <a:blip xmlns:r="http://schemas.openxmlformats.org/officeDocument/2006/relationships" r:embed="rId3"/>
          <a:tile tx="0" ty="0" sx="100000" sy="100000" flip="none" algn="tl"/>
        </a:blipFill>
        <a:ln>
          <a:noFill/>
        </a:ln>
        <a:effectLst/>
        <a:sp3d/>
      </c:spPr>
    </c:sideWall>
    <c:backWall>
      <c:thickness val="0"/>
      <c:spPr>
        <a:blipFill>
          <a:blip xmlns:r="http://schemas.openxmlformats.org/officeDocument/2006/relationships" r:embed="rId3"/>
          <a:tile tx="0" ty="0" sx="100000" sy="100000" flip="none" algn="tl"/>
        </a:blipFill>
        <a:ln>
          <a:noFill/>
        </a:ln>
        <a:effectLst/>
        <a:sp3d/>
      </c:spPr>
    </c:backWall>
    <c:plotArea>
      <c:layout/>
      <c:bar3DChart>
        <c:barDir val="bar"/>
        <c:grouping val="clustered"/>
        <c:varyColors val="0"/>
        <c:ser>
          <c:idx val="0"/>
          <c:order val="0"/>
          <c:tx>
            <c:strRef>
              <c:f>Table2!$R$12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Table2!$Q$13:$Q$17</c:f>
              <c:strCache>
                <c:ptCount val="4"/>
                <c:pt idx="0">
                  <c:v>Laptop</c:v>
                </c:pt>
                <c:pt idx="1">
                  <c:v>Mobile</c:v>
                </c:pt>
                <c:pt idx="2">
                  <c:v>Phone</c:v>
                </c:pt>
                <c:pt idx="3">
                  <c:v>Tablet</c:v>
                </c:pt>
              </c:strCache>
            </c:strRef>
          </c:cat>
          <c:val>
            <c:numRef>
              <c:f>Table2!$R$13:$R$17</c:f>
              <c:numCache>
                <c:formatCode>General</c:formatCode>
                <c:ptCount val="4"/>
                <c:pt idx="0">
                  <c:v>8157</c:v>
                </c:pt>
                <c:pt idx="1">
                  <c:v>2141</c:v>
                </c:pt>
                <c:pt idx="2">
                  <c:v>18496</c:v>
                </c:pt>
                <c:pt idx="3">
                  <c:v>5374</c:v>
                </c:pt>
              </c:numCache>
            </c:numRef>
          </c:val>
          <c:extLst>
            <c:ext xmlns:c16="http://schemas.microsoft.com/office/drawing/2014/chart" uri="{C3380CC4-5D6E-409C-BE32-E72D297353CC}">
              <c16:uniqueId val="{00000000-76A1-48F0-81EB-9375A028A21F}"/>
            </c:ext>
          </c:extLst>
        </c:ser>
        <c:dLbls>
          <c:showLegendKey val="0"/>
          <c:showVal val="1"/>
          <c:showCatName val="0"/>
          <c:showSerName val="0"/>
          <c:showPercent val="0"/>
          <c:showBubbleSize val="0"/>
        </c:dLbls>
        <c:gapWidth val="84"/>
        <c:gapDepth val="53"/>
        <c:shape val="box"/>
        <c:axId val="1128201119"/>
        <c:axId val="1128202079"/>
        <c:axId val="0"/>
      </c:bar3DChart>
      <c:catAx>
        <c:axId val="112820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128202079"/>
        <c:crosses val="autoZero"/>
        <c:auto val="1"/>
        <c:lblAlgn val="ctr"/>
        <c:lblOffset val="100"/>
        <c:noMultiLvlLbl val="0"/>
      </c:catAx>
      <c:valAx>
        <c:axId val="1128202079"/>
        <c:scaling>
          <c:orientation val="minMax"/>
        </c:scaling>
        <c:delete val="1"/>
        <c:axPos val="b"/>
        <c:numFmt formatCode="General" sourceLinked="1"/>
        <c:majorTickMark val="out"/>
        <c:minorTickMark val="none"/>
        <c:tickLblPos val="nextTo"/>
        <c:crossAx val="112820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schemeClr>
    </a:solidFill>
    <a:ln w="6350" cap="flat" cmpd="sng" algn="ctr">
      <a:solidFill>
        <a:schemeClr val="dk1">
          <a:tint val="75000"/>
        </a:schemeClr>
      </a:solidFill>
      <a:round/>
    </a:ln>
    <a:effectLst>
      <a:innerShdw blurRad="63500" dist="50800" dir="13500000">
        <a:prstClr val="black">
          <a:alpha val="50000"/>
        </a:prstClr>
      </a:inn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[messy_data_100_rows.xlsx]Table2!PivotTable4</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GENDER</a:t>
            </a:r>
            <a:r>
              <a:rPr lang="en-US" sz="1600" b="1" baseline="0">
                <a:solidFill>
                  <a:schemeClr val="tx1"/>
                </a:solidFill>
              </a:rPr>
              <a:t> BY CITY</a:t>
            </a:r>
            <a:endParaRPr lang="en-US" sz="1600" b="1">
              <a:solidFill>
                <a:schemeClr val="tx1"/>
              </a:solidFill>
            </a:endParaRPr>
          </a:p>
        </c:rich>
      </c:tx>
      <c:layout>
        <c:manualLayout>
          <c:xMode val="edge"/>
          <c:yMode val="edge"/>
          <c:x val="0.36284011373578307"/>
          <c:y val="0.14852403671456121"/>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w="25400">
            <a:solidFill>
              <a:schemeClr val="lt1"/>
            </a:solidFill>
          </a:ln>
          <a:effectLst/>
          <a:sp3d contourW="25400">
            <a:contourClr>
              <a:schemeClr val="lt1"/>
            </a:contourClr>
          </a:sp3d>
        </c:spPr>
      </c:pivotFmt>
      <c:pivotFmt>
        <c:idx val="2"/>
        <c:spPr>
          <a:solidFill>
            <a:schemeClr val="accent2">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solidFill>
          <a:ln w="25400">
            <a:solidFill>
              <a:schemeClr val="lt1"/>
            </a:solidFill>
          </a:ln>
          <a:effectLst/>
          <a:sp3d contourW="25400">
            <a:contourClr>
              <a:schemeClr val="lt1"/>
            </a:contourClr>
          </a:sp3d>
        </c:spPr>
      </c:pivotFmt>
      <c:pivotFmt>
        <c:idx val="4"/>
        <c:spPr>
          <a:solidFill>
            <a:schemeClr val="accent2">
              <a:lumMod val="50000"/>
            </a:schemeClr>
          </a:solidFill>
          <a:ln w="25400">
            <a:solidFill>
              <a:schemeClr val="lt1"/>
            </a:solidFill>
          </a:ln>
          <a:effectLst/>
          <a:sp3d contourW="25400">
            <a:contourClr>
              <a:schemeClr val="lt1"/>
            </a:contourClr>
          </a:sp3d>
        </c:spPr>
      </c:pivotFmt>
      <c:pivotFmt>
        <c:idx val="5"/>
        <c:spPr>
          <a:solidFill>
            <a:schemeClr val="accent2">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w="25400">
            <a:solidFill>
              <a:schemeClr val="lt1"/>
            </a:solidFill>
          </a:ln>
          <a:effectLst/>
          <a:sp3d contourW="25400">
            <a:contourClr>
              <a:schemeClr val="lt1"/>
            </a:contourClr>
          </a:sp3d>
        </c:spPr>
      </c:pivotFmt>
      <c:pivotFmt>
        <c:idx val="7"/>
        <c:spPr>
          <a:solidFill>
            <a:schemeClr val="accent2">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Table2!$M$12</c:f>
              <c:strCache>
                <c:ptCount val="1"/>
                <c:pt idx="0">
                  <c:v>Total</c:v>
                </c:pt>
              </c:strCache>
            </c:strRef>
          </c:tx>
          <c:spPr>
            <a:solidFill>
              <a:schemeClr val="accent2">
                <a:lumMod val="50000"/>
              </a:schemeClr>
            </a:solidFill>
          </c:spPr>
          <c:dPt>
            <c:idx val="0"/>
            <c:bubble3D val="0"/>
            <c:spPr>
              <a:solidFill>
                <a:schemeClr val="bg2"/>
              </a:solidFill>
              <a:ln w="25400">
                <a:solidFill>
                  <a:schemeClr val="lt1"/>
                </a:solidFill>
              </a:ln>
              <a:effectLst/>
              <a:sp3d contourW="25400">
                <a:contourClr>
                  <a:schemeClr val="lt1"/>
                </a:contourClr>
              </a:sp3d>
            </c:spPr>
            <c:extLst>
              <c:ext xmlns:c16="http://schemas.microsoft.com/office/drawing/2014/chart" uri="{C3380CC4-5D6E-409C-BE32-E72D297353CC}">
                <c16:uniqueId val="{00000001-A721-43A2-8C77-03AFF0FA574C}"/>
              </c:ext>
            </c:extLst>
          </c:dPt>
          <c:dPt>
            <c:idx val="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721-43A2-8C77-03AFF0FA574C}"/>
              </c:ext>
            </c:extLst>
          </c:dPt>
          <c:cat>
            <c:strRef>
              <c:f>Table2!$L$13:$L$15</c:f>
              <c:strCache>
                <c:ptCount val="2"/>
                <c:pt idx="0">
                  <c:v>Female</c:v>
                </c:pt>
                <c:pt idx="1">
                  <c:v>Male</c:v>
                </c:pt>
              </c:strCache>
            </c:strRef>
          </c:cat>
          <c:val>
            <c:numRef>
              <c:f>Table2!$M$13:$M$15</c:f>
              <c:numCache>
                <c:formatCode>General</c:formatCode>
                <c:ptCount val="2"/>
                <c:pt idx="0">
                  <c:v>53</c:v>
                </c:pt>
                <c:pt idx="1">
                  <c:v>47</c:v>
                </c:pt>
              </c:numCache>
            </c:numRef>
          </c:val>
          <c:extLst>
            <c:ext xmlns:c16="http://schemas.microsoft.com/office/drawing/2014/chart" uri="{C3380CC4-5D6E-409C-BE32-E72D297353CC}">
              <c16:uniqueId val="{00000004-A721-43A2-8C77-03AFF0FA574C}"/>
            </c:ext>
          </c:extLst>
        </c:ser>
        <c:dLbls>
          <c:showLegendKey val="0"/>
          <c:showVal val="0"/>
          <c:showCatName val="0"/>
          <c:showSerName val="0"/>
          <c:showPercent val="0"/>
          <c:showBubbleSize val="0"/>
          <c:showLeaderLines val="1"/>
        </c:dLbls>
      </c:pie3DChart>
      <c:spPr>
        <a:solidFill>
          <a:schemeClr val="bg2">
            <a:lumMod val="75000"/>
          </a:schemeClr>
        </a:solidFill>
        <a:ln>
          <a:noFill/>
        </a:ln>
        <a:effectLst>
          <a:innerShdw blurRad="63500" dist="50800" dir="13500000">
            <a:prstClr val="black">
              <a:alpha val="50000"/>
            </a:prstClr>
          </a:inn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a:innerShdw blurRad="63500" dist="50800" dir="108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561974</xdr:colOff>
      <xdr:row>27</xdr:row>
      <xdr:rowOff>177800</xdr:rowOff>
    </xdr:from>
    <xdr:to>
      <xdr:col>16</xdr:col>
      <xdr:colOff>215900</xdr:colOff>
      <xdr:row>46</xdr:row>
      <xdr:rowOff>25400</xdr:rowOff>
    </xdr:to>
    <xdr:graphicFrame macro="">
      <xdr:nvGraphicFramePr>
        <xdr:cNvPr id="2" name="Chart 1">
          <a:extLst>
            <a:ext uri="{FF2B5EF4-FFF2-40B4-BE49-F238E27FC236}">
              <a16:creationId xmlns:a16="http://schemas.microsoft.com/office/drawing/2014/main" id="{C4F57D56-D316-436E-AFA4-970D37AB4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269874</xdr:colOff>
      <xdr:row>1</xdr:row>
      <xdr:rowOff>88901</xdr:rowOff>
    </xdr:from>
    <xdr:ext cx="11763375" cy="688974"/>
    <xdr:sp macro="" textlink="">
      <xdr:nvSpPr>
        <xdr:cNvPr id="3" name="TextBox 2">
          <a:extLst>
            <a:ext uri="{FF2B5EF4-FFF2-40B4-BE49-F238E27FC236}">
              <a16:creationId xmlns:a16="http://schemas.microsoft.com/office/drawing/2014/main" id="{580D304D-2B39-B513-FAC4-5822073E4751}"/>
            </a:ext>
          </a:extLst>
        </xdr:cNvPr>
        <xdr:cNvSpPr txBox="1"/>
      </xdr:nvSpPr>
      <xdr:spPr>
        <a:xfrm>
          <a:off x="4492624" y="279401"/>
          <a:ext cx="11763375" cy="688974"/>
        </a:xfrm>
        <a:prstGeom prst="rect">
          <a:avLst/>
        </a:prstGeom>
        <a:solidFill>
          <a:schemeClr val="accent3"/>
        </a:solidFill>
        <a:effectLst>
          <a:outerShdw blurRad="50800" dist="38100" dir="5400000" algn="t" rotWithShape="0">
            <a:prstClr val="black">
              <a:alpha val="40000"/>
            </a:prstClr>
          </a:outerShd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AE" sz="2400" b="1" i="1"/>
            <a:t>SALES DASHBORD</a:t>
          </a:r>
        </a:p>
      </xdr:txBody>
    </xdr:sp>
    <xdr:clientData/>
  </xdr:oneCellAnchor>
  <xdr:oneCellAnchor>
    <xdr:from>
      <xdr:col>1</xdr:col>
      <xdr:colOff>177800</xdr:colOff>
      <xdr:row>6</xdr:row>
      <xdr:rowOff>127000</xdr:rowOff>
    </xdr:from>
    <xdr:ext cx="3962400" cy="682624"/>
    <xdr:sp macro="" textlink="">
      <xdr:nvSpPr>
        <xdr:cNvPr id="4" name="TextBox 3">
          <a:extLst>
            <a:ext uri="{FF2B5EF4-FFF2-40B4-BE49-F238E27FC236}">
              <a16:creationId xmlns:a16="http://schemas.microsoft.com/office/drawing/2014/main" id="{AE77EFF9-10DE-6B6C-36AA-BAF98266A4F2}"/>
            </a:ext>
          </a:extLst>
        </xdr:cNvPr>
        <xdr:cNvSpPr txBox="1"/>
      </xdr:nvSpPr>
      <xdr:spPr>
        <a:xfrm>
          <a:off x="787400" y="1270000"/>
          <a:ext cx="3962400" cy="682624"/>
        </a:xfrm>
        <a:prstGeom prst="rect">
          <a:avLst/>
        </a:prstGeom>
        <a:solidFill>
          <a:schemeClr val="accent2">
            <a:lumMod val="75000"/>
          </a:schemeClr>
        </a:solidFill>
        <a:effectLst>
          <a:glow rad="63500">
            <a:schemeClr val="accent1">
              <a:satMod val="175000"/>
              <a:alpha val="40000"/>
            </a:schemeClr>
          </a:glow>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b="1" i="0" u="none" strike="noStrike">
              <a:solidFill>
                <a:schemeClr val="tx1"/>
              </a:solidFill>
              <a:effectLst/>
              <a:latin typeface="+mn-lt"/>
              <a:ea typeface="+mn-ea"/>
              <a:cs typeface="+mn-cs"/>
            </a:rPr>
            <a:t>MOST AMOUNT SPENT BY GENDER</a:t>
          </a:r>
          <a:r>
            <a:rPr lang="en-US" sz="1400" b="1">
              <a:solidFill>
                <a:schemeClr val="tx1"/>
              </a:solidFill>
            </a:rPr>
            <a:t>   </a:t>
          </a:r>
          <a:endParaRPr lang="en-US" sz="1400" b="1" i="0" u="none" strike="noStrike">
            <a:solidFill>
              <a:schemeClr val="tx1"/>
            </a:solidFill>
            <a:effectLst/>
            <a:latin typeface="+mn-lt"/>
            <a:ea typeface="+mn-ea"/>
            <a:cs typeface="+mn-cs"/>
          </a:endParaRPr>
        </a:p>
        <a:p>
          <a:pPr algn="ctr"/>
          <a:r>
            <a:rPr lang="en-US" sz="1400" b="1">
              <a:solidFill>
                <a:schemeClr val="tx1"/>
              </a:solidFill>
            </a:rPr>
            <a:t>FEMALE</a:t>
          </a:r>
          <a:endParaRPr lang="en-AE" sz="1400" b="1">
            <a:solidFill>
              <a:schemeClr val="tx1"/>
            </a:solidFill>
          </a:endParaRPr>
        </a:p>
      </xdr:txBody>
    </xdr:sp>
    <xdr:clientData/>
  </xdr:oneCellAnchor>
  <xdr:twoCellAnchor>
    <xdr:from>
      <xdr:col>8</xdr:col>
      <xdr:colOff>469900</xdr:colOff>
      <xdr:row>6</xdr:row>
      <xdr:rowOff>127000</xdr:rowOff>
    </xdr:from>
    <xdr:to>
      <xdr:col>14</xdr:col>
      <xdr:colOff>482600</xdr:colOff>
      <xdr:row>10</xdr:row>
      <xdr:rowOff>63500</xdr:rowOff>
    </xdr:to>
    <xdr:sp macro="" textlink="">
      <xdr:nvSpPr>
        <xdr:cNvPr id="5" name="TextBox 4">
          <a:extLst>
            <a:ext uri="{FF2B5EF4-FFF2-40B4-BE49-F238E27FC236}">
              <a16:creationId xmlns:a16="http://schemas.microsoft.com/office/drawing/2014/main" id="{F714F0F0-8E0E-4D8A-743B-4BEDD66EB89D}"/>
            </a:ext>
          </a:extLst>
        </xdr:cNvPr>
        <xdr:cNvSpPr txBox="1"/>
      </xdr:nvSpPr>
      <xdr:spPr>
        <a:xfrm>
          <a:off x="5346700" y="1270000"/>
          <a:ext cx="3670300" cy="698500"/>
        </a:xfrm>
        <a:prstGeom prst="rect">
          <a:avLst/>
        </a:prstGeom>
        <a:solidFill>
          <a:srgbClr val="FFFF00"/>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t>MOST SELLING PRICE  </a:t>
          </a:r>
        </a:p>
        <a:p>
          <a:pPr algn="ctr"/>
          <a:r>
            <a:rPr lang="en-US" sz="1300" b="1"/>
            <a:t>99581</a:t>
          </a:r>
          <a:endParaRPr lang="en-AE" sz="1300" b="1"/>
        </a:p>
      </xdr:txBody>
    </xdr:sp>
    <xdr:clientData/>
  </xdr:twoCellAnchor>
  <xdr:twoCellAnchor>
    <xdr:from>
      <xdr:col>5</xdr:col>
      <xdr:colOff>46036</xdr:colOff>
      <xdr:row>11</xdr:row>
      <xdr:rowOff>63500</xdr:rowOff>
    </xdr:from>
    <xdr:to>
      <xdr:col>16</xdr:col>
      <xdr:colOff>177800</xdr:colOff>
      <xdr:row>26</xdr:row>
      <xdr:rowOff>88900</xdr:rowOff>
    </xdr:to>
    <xdr:graphicFrame macro="">
      <xdr:nvGraphicFramePr>
        <xdr:cNvPr id="7" name="Chart 6">
          <a:extLst>
            <a:ext uri="{FF2B5EF4-FFF2-40B4-BE49-F238E27FC236}">
              <a16:creationId xmlns:a16="http://schemas.microsoft.com/office/drawing/2014/main" id="{AFB04BF6-C658-4843-B940-285D4DE07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444500</xdr:colOff>
      <xdr:row>6</xdr:row>
      <xdr:rowOff>142875</xdr:rowOff>
    </xdr:from>
    <xdr:to>
      <xdr:col>30</xdr:col>
      <xdr:colOff>520700</xdr:colOff>
      <xdr:row>10</xdr:row>
      <xdr:rowOff>31750</xdr:rowOff>
    </xdr:to>
    <xdr:sp macro="" textlink="">
      <xdr:nvSpPr>
        <xdr:cNvPr id="8" name="TextBox 7">
          <a:extLst>
            <a:ext uri="{FF2B5EF4-FFF2-40B4-BE49-F238E27FC236}">
              <a16:creationId xmlns:a16="http://schemas.microsoft.com/office/drawing/2014/main" id="{4FDA46F9-1FC2-6A7E-07D1-6F1BF1A24986}"/>
            </a:ext>
          </a:extLst>
        </xdr:cNvPr>
        <xdr:cNvSpPr txBox="1"/>
      </xdr:nvSpPr>
      <xdr:spPr>
        <a:xfrm>
          <a:off x="13855700" y="1285875"/>
          <a:ext cx="4953000" cy="650875"/>
        </a:xfrm>
        <a:prstGeom prst="rect">
          <a:avLst/>
        </a:prstGeom>
        <a:solidFill>
          <a:schemeClr val="accent6">
            <a:lumMod val="75000"/>
          </a:schemeClr>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300" b="1" i="1"/>
            <a:t>MOST SELLING PRODUCT</a:t>
          </a:r>
        </a:p>
        <a:p>
          <a:pPr algn="ctr"/>
          <a:r>
            <a:rPr lang="en-AE" sz="1300" b="1" i="1"/>
            <a:t>PHONE</a:t>
          </a:r>
        </a:p>
      </xdr:txBody>
    </xdr:sp>
    <xdr:clientData/>
  </xdr:twoCellAnchor>
  <xdr:oneCellAnchor>
    <xdr:from>
      <xdr:col>15</xdr:col>
      <xdr:colOff>304800</xdr:colOff>
      <xdr:row>6</xdr:row>
      <xdr:rowOff>111124</xdr:rowOff>
    </xdr:from>
    <xdr:ext cx="3822700" cy="714375"/>
    <xdr:sp macro="" textlink="">
      <xdr:nvSpPr>
        <xdr:cNvPr id="6" name="TextBox 5">
          <a:extLst>
            <a:ext uri="{FF2B5EF4-FFF2-40B4-BE49-F238E27FC236}">
              <a16:creationId xmlns:a16="http://schemas.microsoft.com/office/drawing/2014/main" id="{43308060-060B-4DFC-C925-191B19E38FAD}"/>
            </a:ext>
          </a:extLst>
        </xdr:cNvPr>
        <xdr:cNvSpPr txBox="1"/>
      </xdr:nvSpPr>
      <xdr:spPr>
        <a:xfrm>
          <a:off x="9448800" y="1254124"/>
          <a:ext cx="3822700" cy="714375"/>
        </a:xfrm>
        <a:prstGeom prst="rect">
          <a:avLst/>
        </a:prstGeom>
        <a:solidFill>
          <a:schemeClr val="bg2">
            <a:lumMod val="50000"/>
          </a:schemeClr>
        </a:solidFill>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AE" sz="1400" b="1" i="1">
              <a:solidFill>
                <a:srgbClr val="000000"/>
              </a:solidFill>
            </a:rPr>
            <a:t>TOTAL REVENUE</a:t>
          </a:r>
        </a:p>
        <a:p>
          <a:pPr algn="ctr"/>
          <a:r>
            <a:rPr lang="en-AE" sz="1400" b="1" i="1">
              <a:solidFill>
                <a:srgbClr val="000000"/>
              </a:solidFill>
            </a:rPr>
            <a:t>346622</a:t>
          </a:r>
        </a:p>
      </xdr:txBody>
    </xdr:sp>
    <xdr:clientData/>
  </xdr:oneCellAnchor>
  <xdr:twoCellAnchor>
    <xdr:from>
      <xdr:col>18</xdr:col>
      <xdr:colOff>0</xdr:colOff>
      <xdr:row>11</xdr:row>
      <xdr:rowOff>47625</xdr:rowOff>
    </xdr:from>
    <xdr:to>
      <xdr:col>29</xdr:col>
      <xdr:colOff>508000</xdr:colOff>
      <xdr:row>26</xdr:row>
      <xdr:rowOff>88900</xdr:rowOff>
    </xdr:to>
    <xdr:graphicFrame macro="">
      <xdr:nvGraphicFramePr>
        <xdr:cNvPr id="10" name="Chart 9">
          <a:extLst>
            <a:ext uri="{FF2B5EF4-FFF2-40B4-BE49-F238E27FC236}">
              <a16:creationId xmlns:a16="http://schemas.microsoft.com/office/drawing/2014/main" id="{E213D21C-EE66-4D16-B59F-1693441E7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33144</xdr:colOff>
      <xdr:row>11</xdr:row>
      <xdr:rowOff>93082</xdr:rowOff>
    </xdr:from>
    <xdr:to>
      <xdr:col>4</xdr:col>
      <xdr:colOff>445274</xdr:colOff>
      <xdr:row>32</xdr:row>
      <xdr:rowOff>0</xdr:rowOff>
    </xdr:to>
    <mc:AlternateContent xmlns:mc="http://schemas.openxmlformats.org/markup-compatibility/2006">
      <mc:Choice xmlns:a14="http://schemas.microsoft.com/office/drawing/2010/main" Requires="a14">
        <xdr:graphicFrame macro="">
          <xdr:nvGraphicFramePr>
            <xdr:cNvPr id="20" name="City">
              <a:extLst>
                <a:ext uri="{FF2B5EF4-FFF2-40B4-BE49-F238E27FC236}">
                  <a16:creationId xmlns:a16="http://schemas.microsoft.com/office/drawing/2014/main" id="{7448943B-3720-1972-2136-0CF70614C5E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42744" y="2188582"/>
              <a:ext cx="2240930" cy="390741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63500</xdr:colOff>
      <xdr:row>27</xdr:row>
      <xdr:rowOff>175260</xdr:rowOff>
    </xdr:from>
    <xdr:to>
      <xdr:col>29</xdr:col>
      <xdr:colOff>520700</xdr:colOff>
      <xdr:row>46</xdr:row>
      <xdr:rowOff>12700</xdr:rowOff>
    </xdr:to>
    <xdr:pic>
      <xdr:nvPicPr>
        <xdr:cNvPr id="22" name="Picture 21">
          <a:extLst>
            <a:ext uri="{FF2B5EF4-FFF2-40B4-BE49-F238E27FC236}">
              <a16:creationId xmlns:a16="http://schemas.microsoft.com/office/drawing/2014/main" id="{8AEA7BA6-D146-09B4-ABBE-8BE669D74485}"/>
            </a:ext>
          </a:extLst>
        </xdr:cNvPr>
        <xdr:cNvPicPr>
          <a:picLocks noChangeAspect="1"/>
        </xdr:cNvPicPr>
      </xdr:nvPicPr>
      <xdr:blipFill>
        <a:blip xmlns:r="http://schemas.openxmlformats.org/officeDocument/2006/relationships" r:embed="rId4"/>
        <a:stretch>
          <a:fillRect/>
        </a:stretch>
      </xdr:blipFill>
      <xdr:spPr>
        <a:xfrm>
          <a:off x="11036300" y="5318760"/>
          <a:ext cx="7162800" cy="34569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0.528944097219" createdVersion="8" refreshedVersion="8" minRefreshableVersion="3" recordCount="100" xr:uid="{285EC806-5F25-409C-ADC5-DEFD3536E224}">
  <cacheSource type="worksheet">
    <worksheetSource name="Table2_1"/>
  </cacheSource>
  <cacheFields count="10">
    <cacheField name="ID" numFmtId="0">
      <sharedItems containsSemiMixedTypes="0" containsString="0" containsNumber="1" containsInteger="1" minValue="101" maxValue="200" count="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Name" numFmtId="0">
      <sharedItems/>
    </cacheField>
    <cacheField name="Date" numFmtId="14">
      <sharedItems containsSemiMixedTypes="0" containsNonDate="0" containsDate="1" containsString="0" minDate="2026-03-07T00:00:00" maxDate="2026-03-17T00:00:00"/>
    </cacheField>
    <cacheField name="Phone" numFmtId="0">
      <sharedItems/>
    </cacheField>
    <cacheField name="Email" numFmtId="0">
      <sharedItems/>
    </cacheField>
    <cacheField name="Amount" numFmtId="0">
      <sharedItems containsSemiMixedTypes="0" containsString="0" containsNumber="1" containsInteger="1" minValue="1018" maxValue="5876"/>
    </cacheField>
    <cacheField name="City" numFmtId="0">
      <sharedItems/>
    </cacheField>
    <cacheField name="Gender" numFmtId="0">
      <sharedItems count="2">
        <s v="Male"/>
        <s v="Female"/>
      </sharedItems>
    </cacheField>
    <cacheField name="Product"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0.538555092593" createdVersion="8" refreshedVersion="8" minRefreshableVersion="3" recordCount="107" xr:uid="{04AE8F1A-CE75-4DE3-A64D-018D45EC2C3D}">
  <cacheSource type="worksheet">
    <worksheetSource ref="A1:J1048576" sheet="Table2"/>
  </cacheSource>
  <cacheFields count="10">
    <cacheField name="ID" numFmtId="0">
      <sharedItems containsString="0" containsBlank="1" containsNumber="1" containsInteger="1" minValue="101" maxValue="200" count="101">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m/>
      </sharedItems>
    </cacheField>
    <cacheField name="Name" numFmtId="0">
      <sharedItems containsBlank="1"/>
    </cacheField>
    <cacheField name="Date" numFmtId="0">
      <sharedItems containsNonDate="0" containsDate="1" containsString="0" containsBlank="1" minDate="2026-03-07T00:00:00" maxDate="2026-03-17T00:00:00"/>
    </cacheField>
    <cacheField name="Phone" numFmtId="0">
      <sharedItems containsBlank="1"/>
    </cacheField>
    <cacheField name="Email" numFmtId="0">
      <sharedItems containsBlank="1"/>
    </cacheField>
    <cacheField name="Amount" numFmtId="0">
      <sharedItems containsString="0" containsBlank="1" containsNumber="1" containsInteger="1" minValue="1018" maxValue="5876"/>
    </cacheField>
    <cacheField name="City" numFmtId="0">
      <sharedItems containsBlank="1" count="11">
        <s v="Kochi"/>
        <s v="Ahmedabad"/>
        <s v="Delhi"/>
        <s v="Bangalore"/>
        <s v="Mumbai"/>
        <s v="Pune"/>
        <s v="Kolkata"/>
        <s v="Hyderabad"/>
        <s v="Jaipur"/>
        <s v="Chennai"/>
        <m/>
      </sharedItems>
    </cacheField>
    <cacheField name="Gender" numFmtId="0">
      <sharedItems containsBlank="1" count="3">
        <s v="Male"/>
        <s v="Female"/>
        <m/>
      </sharedItems>
    </cacheField>
    <cacheField name="Product" numFmtId="0">
      <sharedItems containsBlank="1" count="5">
        <s v="Tablet"/>
        <s v="Phone"/>
        <s v="Mobile"/>
        <s v="Laptop"/>
        <m/>
      </sharedItems>
    </cacheField>
    <cacheField name="Status" numFmtId="0">
      <sharedItems containsBlank="1"/>
    </cacheField>
  </cacheFields>
  <extLst>
    <ext xmlns:x14="http://schemas.microsoft.com/office/spreadsheetml/2009/9/main" uri="{725AE2AE-9491-48be-B2B4-4EB974FC3084}">
      <x14:pivotCacheDefinition pivotCacheId="194105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hris"/>
    <d v="2026-03-09T00:00:00"/>
    <s v="9897989899"/>
    <s v="chris@gmail.com"/>
    <n v="3232"/>
    <s v="Kochi"/>
    <x v="0"/>
    <s v="Tablet"/>
    <s v="Complete"/>
  </r>
  <r>
    <x v="1"/>
    <s v="Sarah Lee"/>
    <d v="2026-03-07T00:00:00"/>
    <s v="9558386023"/>
    <s v="sarahlee@gmail.com"/>
    <n v="1241"/>
    <s v="Ahmedabad"/>
    <x v="0"/>
    <s v="Phone"/>
    <s v="Complete"/>
  </r>
  <r>
    <x v="2"/>
    <s v="Michael"/>
    <d v="2026-03-10T00:00:00"/>
    <s v="9327819786"/>
    <s v="michael@gmail.com"/>
    <n v="2877"/>
    <s v="Delhi"/>
    <x v="0"/>
    <s v="Mobile"/>
    <s v="Pending"/>
  </r>
  <r>
    <x v="3"/>
    <s v="John Doe"/>
    <d v="2026-03-12T00:00:00"/>
    <s v="982899679"/>
    <s v="johndoe@gmail.com"/>
    <n v="4578"/>
    <s v="Delhi"/>
    <x v="0"/>
    <s v="Laptop"/>
    <s v="Pending"/>
  </r>
  <r>
    <x v="4"/>
    <s v="Emily"/>
    <d v="2026-03-14T00:00:00"/>
    <s v="9860772485"/>
    <s v="emily@gmail.com"/>
    <n v="3755"/>
    <s v="Bangalore"/>
    <x v="1"/>
    <s v="Tablet"/>
    <s v="Pending"/>
  </r>
  <r>
    <x v="5"/>
    <s v="Sarah Lee"/>
    <d v="2026-03-08T00:00:00"/>
    <s v="9712224478"/>
    <s v="sarahlee@gmail.com"/>
    <n v="4190"/>
    <s v="Mumbai"/>
    <x v="1"/>
    <s v="Mobile"/>
    <s v="Complete"/>
  </r>
  <r>
    <x v="6"/>
    <s v="Chris"/>
    <d v="2026-03-07T00:00:00"/>
    <s v="9875184380"/>
    <s v="chris@gmail.com"/>
    <n v="2058"/>
    <s v="Pune"/>
    <x v="0"/>
    <s v="Phone"/>
    <s v="Complete"/>
  </r>
  <r>
    <x v="7"/>
    <s v="Michael"/>
    <d v="2026-03-10T00:00:00"/>
    <s v="9428520226"/>
    <s v="michael@gmail.com"/>
    <n v="4970"/>
    <s v="Delhi"/>
    <x v="0"/>
    <s v="Laptop"/>
    <s v="Pending"/>
  </r>
  <r>
    <x v="8"/>
    <s v="Sarah Lee"/>
    <d v="2026-03-11T00:00:00"/>
    <s v="9321418377"/>
    <s v="sarahlee@gmail.com"/>
    <n v="4108"/>
    <s v="Pune"/>
    <x v="1"/>
    <s v="Laptop"/>
    <s v="Complete"/>
  </r>
  <r>
    <x v="9"/>
    <s v="Alex"/>
    <d v="2026-03-10T00:00:00"/>
    <s v="952573594"/>
    <s v="alex@gmail.com"/>
    <n v="2697"/>
    <s v="Kolkata"/>
    <x v="0"/>
    <s v="Phone"/>
    <s v="Complete"/>
  </r>
  <r>
    <x v="10"/>
    <s v="Emily"/>
    <d v="2026-03-08T00:00:00"/>
    <s v="9088634"/>
    <s v="emily@gmail.com"/>
    <n v="2226"/>
    <s v="Delhi"/>
    <x v="0"/>
    <s v="Tablet"/>
    <s v="Complete"/>
  </r>
  <r>
    <x v="11"/>
    <s v="Jane Doe"/>
    <d v="2026-03-16T00:00:00"/>
    <s v="9327374620"/>
    <s v="janedoe@gmail.com"/>
    <n v="2141"/>
    <s v="Hyderabad"/>
    <x v="0"/>
    <s v="Mobile"/>
    <s v="Complete"/>
  </r>
  <r>
    <x v="12"/>
    <s v="Sarah Lee"/>
    <d v="2026-03-16T00:00:00"/>
    <s v="909030091"/>
    <s v="sarahlee@gmail.com"/>
    <n v="4944"/>
    <s v="Pune"/>
    <x v="0"/>
    <s v="Mobile"/>
    <s v="Pending"/>
  </r>
  <r>
    <x v="13"/>
    <s v="Robert"/>
    <d v="2026-03-14T00:00:00"/>
    <s v="949786321"/>
    <s v="robert@gmail.com"/>
    <n v="5223"/>
    <s v="Pune"/>
    <x v="0"/>
    <s v="Laptop"/>
    <s v="Complete"/>
  </r>
  <r>
    <x v="14"/>
    <s v="Sarah Lee"/>
    <d v="2026-03-07T00:00:00"/>
    <s v="9207171738"/>
    <s v="sarahlee@gmail.com"/>
    <n v="5566"/>
    <s v="Pune"/>
    <x v="0"/>
    <s v="Phone"/>
    <s v="Pending"/>
  </r>
  <r>
    <x v="15"/>
    <s v="Chris"/>
    <d v="2026-03-11T00:00:00"/>
    <s v="9560797352"/>
    <s v="chris@gmail.com"/>
    <n v="2080"/>
    <s v="Jaipur"/>
    <x v="0"/>
    <s v="Mobile"/>
    <s v="Complete"/>
  </r>
  <r>
    <x v="16"/>
    <s v="Emily"/>
    <d v="2026-03-09T00:00:00"/>
    <s v="9986023765"/>
    <s v="emily@gmail.com"/>
    <n v="3548"/>
    <s v="Bangalore"/>
    <x v="1"/>
    <s v="Mobile"/>
    <s v="Pending"/>
  </r>
  <r>
    <x v="17"/>
    <s v="Chris"/>
    <d v="2026-03-13T00:00:00"/>
    <s v="9239533"/>
    <s v="chris@gmail.com"/>
    <n v="2991"/>
    <s v="Hyderabad"/>
    <x v="0"/>
    <s v="Laptop"/>
    <s v="Complete"/>
  </r>
  <r>
    <x v="18"/>
    <s v="Chris"/>
    <d v="2026-03-12T00:00:00"/>
    <s v="9309635814"/>
    <s v="chris@gmail.com"/>
    <n v="3238"/>
    <s v="Delhi"/>
    <x v="1"/>
    <s v="Tablet"/>
    <s v="Pending"/>
  </r>
  <r>
    <x v="19"/>
    <s v="Sarah Lee"/>
    <d v="2026-03-08T00:00:00"/>
    <s v="9587836292"/>
    <s v="sarahlee@gmail.com"/>
    <n v="5291"/>
    <s v="Pune"/>
    <x v="1"/>
    <s v="Laptop"/>
    <s v="Pending"/>
  </r>
  <r>
    <x v="20"/>
    <s v="Emily"/>
    <d v="2026-03-11T00:00:00"/>
    <s v="9166436490"/>
    <s v="emily@gmail.com"/>
    <n v="4925"/>
    <s v="Kolkata"/>
    <x v="0"/>
    <s v="Tablet"/>
    <s v="Complete"/>
  </r>
  <r>
    <x v="21"/>
    <s v="Robert"/>
    <d v="2026-03-10T00:00:00"/>
    <s v="9302112943"/>
    <s v="robert@gmail.com"/>
    <n v="5627"/>
    <s v="Pune"/>
    <x v="1"/>
    <s v="Mobile"/>
    <s v="Complete"/>
  </r>
  <r>
    <x v="22"/>
    <s v="Anna Smith"/>
    <d v="2026-03-14T00:00:00"/>
    <s v="9651517836"/>
    <s v="annasmith@gmail.com"/>
    <n v="2836"/>
    <s v="Ahmedabad"/>
    <x v="0"/>
    <s v="Phone"/>
    <s v="Complete"/>
  </r>
  <r>
    <x v="23"/>
    <s v="David"/>
    <d v="2026-03-10T00:00:00"/>
    <s v="9456450560"/>
    <s v="david@gmail.com"/>
    <n v="3540"/>
    <s v="Delhi"/>
    <x v="0"/>
    <s v="Phone"/>
    <s v="Complete"/>
  </r>
  <r>
    <x v="24"/>
    <s v="Jane Doe"/>
    <d v="2026-03-11T00:00:00"/>
    <s v="9490687752"/>
    <s v="janedoe@gmail.com"/>
    <n v="4899"/>
    <s v="Kolkata"/>
    <x v="1"/>
    <s v="Laptop"/>
    <s v="Complete"/>
  </r>
  <r>
    <x v="25"/>
    <s v="Michael"/>
    <d v="2026-03-11T00:00:00"/>
    <s v="9026633344"/>
    <s v="michael@gmail.com"/>
    <n v="1311"/>
    <s v="Delhi"/>
    <x v="0"/>
    <s v="Phone"/>
    <s v="Complete"/>
  </r>
  <r>
    <x v="26"/>
    <s v="David"/>
    <d v="2026-03-12T00:00:00"/>
    <s v="9822113157"/>
    <s v="david@gmail.com"/>
    <n v="4303"/>
    <s v="Chennai"/>
    <x v="1"/>
    <s v="Phone"/>
    <s v="Complete"/>
  </r>
  <r>
    <x v="27"/>
    <s v="Emily"/>
    <d v="2026-03-15T00:00:00"/>
    <s v="9926148"/>
    <s v="emily@gmail.com"/>
    <n v="4510"/>
    <s v="Kochi"/>
    <x v="0"/>
    <s v="Tablet"/>
    <s v="Complete"/>
  </r>
  <r>
    <x v="28"/>
    <s v="Sarah Lee"/>
    <d v="2026-03-11T00:00:00"/>
    <s v="9840168459"/>
    <s v="sarahlee@gmail.com"/>
    <n v="1605"/>
    <s v="Delhi"/>
    <x v="1"/>
    <s v="Tablet"/>
    <s v="Pending"/>
  </r>
  <r>
    <x v="29"/>
    <s v="Jane Doe"/>
    <d v="2026-03-16T00:00:00"/>
    <s v="977876612"/>
    <s v="janedoe@gmail.com"/>
    <n v="4456"/>
    <s v="Kolkata"/>
    <x v="1"/>
    <s v="Laptop"/>
    <s v="Complete"/>
  </r>
  <r>
    <x v="30"/>
    <s v="Chris"/>
    <d v="2026-03-07T00:00:00"/>
    <s v="9006350"/>
    <s v="chris@gmail.com"/>
    <n v="3139"/>
    <s v="Delhi"/>
    <x v="1"/>
    <s v="Mobile"/>
    <s v="Pending"/>
  </r>
  <r>
    <x v="31"/>
    <s v="Emily"/>
    <d v="2026-03-10T00:00:00"/>
    <s v="9357446896"/>
    <s v="emily@gmail.com"/>
    <n v="2125"/>
    <s v="Mumbai"/>
    <x v="1"/>
    <s v="Laptop"/>
    <s v="Complete"/>
  </r>
  <r>
    <x v="32"/>
    <s v="John Doe"/>
    <d v="2026-03-12T00:00:00"/>
    <s v="9738174111"/>
    <s v="johndoe@gmail.com"/>
    <n v="5414"/>
    <s v="Chennai"/>
    <x v="1"/>
    <s v="Mobile"/>
    <s v="Complete"/>
  </r>
  <r>
    <x v="33"/>
    <s v="Sarah Lee"/>
    <d v="2026-03-14T00:00:00"/>
    <s v="9082092328"/>
    <s v="sarahlee@gmail.com"/>
    <n v="3078"/>
    <s v="Kolkata"/>
    <x v="1"/>
    <s v="Phone"/>
    <s v="Complete"/>
  </r>
  <r>
    <x v="34"/>
    <s v="David"/>
    <d v="2026-03-07T00:00:00"/>
    <s v="9333438882"/>
    <s v="david@gmail.com"/>
    <n v="3180"/>
    <s v="Chennai"/>
    <x v="1"/>
    <s v="Tablet"/>
    <s v="Complete"/>
  </r>
  <r>
    <x v="35"/>
    <s v="Alex"/>
    <d v="2026-03-14T00:00:00"/>
    <s v="9460696530"/>
    <s v="alex@gmail.com"/>
    <n v="1284"/>
    <s v="Delhi"/>
    <x v="0"/>
    <s v="Mobile"/>
    <s v="Pending"/>
  </r>
  <r>
    <x v="36"/>
    <s v="David"/>
    <d v="2026-03-11T00:00:00"/>
    <s v="9872943352"/>
    <s v="david@gmail.com"/>
    <n v="4441"/>
    <s v="Mumbai"/>
    <x v="1"/>
    <s v="Mobile"/>
    <s v="Complete"/>
  </r>
  <r>
    <x v="37"/>
    <s v="Jane Doe"/>
    <d v="2026-03-14T00:00:00"/>
    <s v="9859265079"/>
    <s v="janedoe@gmail.com"/>
    <n v="3970"/>
    <s v="Delhi"/>
    <x v="0"/>
    <s v="Laptop"/>
    <s v="Pending"/>
  </r>
  <r>
    <x v="38"/>
    <s v="Emily"/>
    <d v="2026-03-14T00:00:00"/>
    <s v="9263915681"/>
    <s v="emily@gmail.com"/>
    <n v="3073"/>
    <s v="Chennai"/>
    <x v="0"/>
    <s v="Phone"/>
    <s v="Complete"/>
  </r>
  <r>
    <x v="39"/>
    <s v="Anna Smith"/>
    <d v="2026-03-16T00:00:00"/>
    <s v="9156822905"/>
    <s v="annasmith@gmail.com"/>
    <n v="4641"/>
    <s v="Kolkata"/>
    <x v="1"/>
    <s v="Phone"/>
    <s v="Complete"/>
  </r>
  <r>
    <x v="40"/>
    <s v="Anna Smith"/>
    <d v="2026-03-08T00:00:00"/>
    <s v="9891611996"/>
    <s v="annasmith@gmail.com"/>
    <n v="5876"/>
    <s v="Bangalore"/>
    <x v="0"/>
    <s v="Tablet"/>
    <s v="Pending"/>
  </r>
  <r>
    <x v="41"/>
    <s v="Emily"/>
    <d v="2026-03-14T00:00:00"/>
    <s v="9012677101"/>
    <s v="emily@gmail.com"/>
    <n v="1628"/>
    <s v="Kochi"/>
    <x v="1"/>
    <s v="Tablet"/>
    <s v="Complete"/>
  </r>
  <r>
    <x v="42"/>
    <s v="Alex"/>
    <d v="2026-03-11T00:00:00"/>
    <s v="9225284756"/>
    <s v="alex@gmail.com"/>
    <n v="1698"/>
    <s v="Kolkata"/>
    <x v="1"/>
    <s v="Laptop"/>
    <s v="Complete"/>
  </r>
  <r>
    <x v="43"/>
    <s v="Jane Doe"/>
    <d v="2026-03-15T00:00:00"/>
    <s v="9869353"/>
    <s v="janedoe@gmail.com"/>
    <n v="1112"/>
    <s v="Chennai"/>
    <x v="1"/>
    <s v="Phone"/>
    <s v="Complete"/>
  </r>
  <r>
    <x v="44"/>
    <s v="John Doe"/>
    <d v="2026-03-11T00:00:00"/>
    <s v="9805601"/>
    <s v="johndoe@gmail.com"/>
    <n v="3852"/>
    <s v="Jaipur"/>
    <x v="1"/>
    <s v="Mobile"/>
    <s v="Complete"/>
  </r>
  <r>
    <x v="45"/>
    <s v="Anna Smith"/>
    <d v="2026-03-08T00:00:00"/>
    <s v="9109926"/>
    <s v="annasmith@gmail.com"/>
    <n v="1207"/>
    <s v="Jaipur"/>
    <x v="1"/>
    <s v="Mobile"/>
    <s v="Pending"/>
  </r>
  <r>
    <x v="46"/>
    <s v="Sarah Lee"/>
    <d v="2026-03-11T00:00:00"/>
    <s v="9438339"/>
    <s v="sarahlee@gmail.com"/>
    <n v="4880"/>
    <s v="Bangalore"/>
    <x v="0"/>
    <s v="Tablet"/>
    <s v="Pending"/>
  </r>
  <r>
    <x v="47"/>
    <s v="Chris"/>
    <d v="2026-03-15T00:00:00"/>
    <s v="9524842042"/>
    <s v="chris@gmail.com"/>
    <n v="1528"/>
    <s v="Pune"/>
    <x v="1"/>
    <s v="Laptop"/>
    <s v="Pending"/>
  </r>
  <r>
    <x v="48"/>
    <s v="Chris"/>
    <d v="2026-03-11T00:00:00"/>
    <s v="903145191"/>
    <s v="chris@gmail.com"/>
    <n v="5787"/>
    <s v="Kolkata"/>
    <x v="0"/>
    <s v="Phone"/>
    <s v="Complete"/>
  </r>
  <r>
    <x v="49"/>
    <s v="Emily"/>
    <d v="2026-03-14T00:00:00"/>
    <s v="9506620655"/>
    <s v="emily@gmail.com"/>
    <n v="3569"/>
    <s v="Kolkata"/>
    <x v="0"/>
    <s v="Laptop"/>
    <s v="Complete"/>
  </r>
  <r>
    <x v="50"/>
    <s v="John Doe"/>
    <d v="2026-03-14T00:00:00"/>
    <s v="9386610"/>
    <s v="johndoe@gmail.com"/>
    <n v="3625"/>
    <s v="Delhi"/>
    <x v="1"/>
    <s v="Phone"/>
    <s v="Pending"/>
  </r>
  <r>
    <x v="51"/>
    <s v="Chris"/>
    <d v="2026-03-13T00:00:00"/>
    <s v="9890682062"/>
    <s v="chris@gmail.com"/>
    <n v="3493"/>
    <s v="Kochi"/>
    <x v="1"/>
    <s v="Phone"/>
    <s v="Complete"/>
  </r>
  <r>
    <x v="52"/>
    <s v="John Doe"/>
    <d v="2026-03-11T00:00:00"/>
    <s v="9389815662"/>
    <s v="johndoe@gmail.com"/>
    <n v="4040"/>
    <s v="Hyderabad"/>
    <x v="0"/>
    <s v="Phone"/>
    <s v="Complete"/>
  </r>
  <r>
    <x v="53"/>
    <s v="John Doe"/>
    <d v="2026-03-10T00:00:00"/>
    <s v="9267138230"/>
    <s v="johndoe@gmail.com"/>
    <n v="3859"/>
    <s v="Ahmedabad"/>
    <x v="1"/>
    <s v="Tablet"/>
    <s v="Complete"/>
  </r>
  <r>
    <x v="54"/>
    <s v="Robert"/>
    <d v="2026-03-11T00:00:00"/>
    <s v="929144428"/>
    <s v="robert@gmail.com"/>
    <n v="4469"/>
    <s v="Delhi"/>
    <x v="0"/>
    <s v="Tablet"/>
    <s v="Pending"/>
  </r>
  <r>
    <x v="55"/>
    <s v="Chris"/>
    <d v="2026-03-07T00:00:00"/>
    <s v="9154731027"/>
    <s v="chris@gmail.com"/>
    <n v="2501"/>
    <s v="Pune"/>
    <x v="1"/>
    <s v="Laptop"/>
    <s v="Complete"/>
  </r>
  <r>
    <x v="56"/>
    <s v="Alex"/>
    <d v="2026-03-13T00:00:00"/>
    <s v="9153895"/>
    <s v="alex@gmail.com"/>
    <n v="3837"/>
    <s v="Mumbai"/>
    <x v="1"/>
    <s v="Laptop"/>
    <s v="Complete"/>
  </r>
  <r>
    <x v="57"/>
    <s v="Sarah Lee"/>
    <d v="2026-03-09T00:00:00"/>
    <s v="9744320428"/>
    <s v="sarahlee@gmail.com"/>
    <n v="3912"/>
    <s v="Mumbai"/>
    <x v="1"/>
    <s v="Tablet"/>
    <s v="Pending"/>
  </r>
  <r>
    <x v="58"/>
    <s v="Anna Smith"/>
    <d v="2026-03-07T00:00:00"/>
    <s v="9153330970"/>
    <s v="annasmith@gmail.com"/>
    <n v="3306"/>
    <s v="Hyderabad"/>
    <x v="1"/>
    <s v="Laptop"/>
    <s v="Complete"/>
  </r>
  <r>
    <x v="59"/>
    <s v="Alex"/>
    <d v="2026-03-08T00:00:00"/>
    <s v="9532351903"/>
    <s v="alex@gmail.com"/>
    <n v="4193"/>
    <s v="Kochi"/>
    <x v="1"/>
    <s v="Phone"/>
    <s v="Complete"/>
  </r>
  <r>
    <x v="60"/>
    <s v="David"/>
    <d v="2026-03-10T00:00:00"/>
    <s v="9105888"/>
    <s v="david@gmail.com"/>
    <n v="2459"/>
    <s v="Pune"/>
    <x v="1"/>
    <s v="Tablet"/>
    <s v="Complete"/>
  </r>
  <r>
    <x v="61"/>
    <s v="Jane Doe"/>
    <d v="2026-03-08T00:00:00"/>
    <s v="9515621272"/>
    <s v="janedoe@gmail.com"/>
    <n v="3148"/>
    <s v="Chennai"/>
    <x v="0"/>
    <s v="Phone"/>
    <s v="Complete"/>
  </r>
  <r>
    <x v="62"/>
    <s v="John Doe"/>
    <d v="2026-03-07T00:00:00"/>
    <s v="9812166804"/>
    <s v="johndoe@gmail.com"/>
    <n v="4108"/>
    <s v="Chennai"/>
    <x v="0"/>
    <s v="Laptop"/>
    <s v="Complete"/>
  </r>
  <r>
    <x v="63"/>
    <s v="David"/>
    <d v="2026-03-09T00:00:00"/>
    <s v="9641124760"/>
    <s v="david@gmail.com"/>
    <n v="4939"/>
    <s v="Hyderabad"/>
    <x v="0"/>
    <s v="Phone"/>
    <s v="Complete"/>
  </r>
  <r>
    <x v="64"/>
    <s v="Michael"/>
    <d v="2026-03-16T00:00:00"/>
    <s v="991849737"/>
    <s v="michael@gmail.com"/>
    <n v="2240"/>
    <s v="Ahmedabad"/>
    <x v="0"/>
    <s v="Tablet"/>
    <s v="Pending"/>
  </r>
  <r>
    <x v="65"/>
    <s v="Alex"/>
    <d v="2026-03-14T00:00:00"/>
    <s v="9754213224"/>
    <s v="alex@gmail.com"/>
    <n v="4033"/>
    <s v="Kochi"/>
    <x v="0"/>
    <s v="Laptop"/>
    <s v="Pending"/>
  </r>
  <r>
    <x v="66"/>
    <s v="Alex"/>
    <d v="2026-03-15T00:00:00"/>
    <s v="9839108465"/>
    <s v="alex@gmail.com"/>
    <n v="4553"/>
    <s v="Hyderabad"/>
    <x v="0"/>
    <s v="Phone"/>
    <s v="Complete"/>
  </r>
  <r>
    <x v="67"/>
    <s v="Chris"/>
    <d v="2026-03-09T00:00:00"/>
    <s v="985902257"/>
    <s v="chris@gmail.com"/>
    <n v="3490"/>
    <s v="Bangalore"/>
    <x v="0"/>
    <s v="Tablet"/>
    <s v="Pending"/>
  </r>
  <r>
    <x v="68"/>
    <s v="Sarah Lee"/>
    <d v="2026-03-10T00:00:00"/>
    <s v="923355790"/>
    <s v="sarahlee@gmail.com"/>
    <n v="2519"/>
    <s v="Delhi"/>
    <x v="0"/>
    <s v="Laptop"/>
    <s v="Pending"/>
  </r>
  <r>
    <x v="69"/>
    <s v="Anna Smith"/>
    <d v="2026-03-13T00:00:00"/>
    <s v="9070710"/>
    <s v="annasmith@gmail.com"/>
    <n v="3604"/>
    <s v="Ahmedabad"/>
    <x v="1"/>
    <s v="Laptop"/>
    <s v="Complete"/>
  </r>
  <r>
    <x v="70"/>
    <s v="Alex"/>
    <d v="2026-03-10T00:00:00"/>
    <s v="9278752212"/>
    <s v="alex@gmail.com"/>
    <n v="4843"/>
    <s v="Jaipur"/>
    <x v="1"/>
    <s v="Tablet"/>
    <s v="Complete"/>
  </r>
  <r>
    <x v="71"/>
    <s v="Alex"/>
    <d v="2026-03-10T00:00:00"/>
    <s v="9394997205"/>
    <s v="alex@gmail.com"/>
    <n v="4338"/>
    <s v="Delhi"/>
    <x v="1"/>
    <s v="Mobile"/>
    <s v="Complete"/>
  </r>
  <r>
    <x v="72"/>
    <s v="Emily"/>
    <d v="2026-03-16T00:00:00"/>
    <s v="9085162705"/>
    <s v="emily@gmail.com"/>
    <n v="1068"/>
    <s v="Jaipur"/>
    <x v="0"/>
    <s v="Tablet"/>
    <s v="Complete"/>
  </r>
  <r>
    <x v="73"/>
    <s v="Alex"/>
    <d v="2026-03-09T00:00:00"/>
    <s v="928555047"/>
    <s v="alex@gmail.com"/>
    <n v="3191"/>
    <s v="Ahmedabad"/>
    <x v="1"/>
    <s v="Phone"/>
    <s v="Complete"/>
  </r>
  <r>
    <x v="74"/>
    <s v="John Doe"/>
    <d v="2026-03-10T00:00:00"/>
    <s v="997871767"/>
    <s v="johndoe@gmail.com"/>
    <n v="4110"/>
    <s v="Pune"/>
    <x v="0"/>
    <s v="Mobile"/>
    <s v="Pending"/>
  </r>
  <r>
    <x v="75"/>
    <s v="Alex"/>
    <d v="2026-03-13T00:00:00"/>
    <s v="970581993"/>
    <s v="alex@gmail.com"/>
    <n v="3853"/>
    <s v="Ahmedabad"/>
    <x v="1"/>
    <s v="Mobile"/>
    <s v="Complete"/>
  </r>
  <r>
    <x v="76"/>
    <s v="Emily"/>
    <d v="2026-03-07T00:00:00"/>
    <s v="9219428529"/>
    <s v="emily@gmail.com"/>
    <n v="2190"/>
    <s v="Pune"/>
    <x v="1"/>
    <s v="Phone"/>
    <s v="Complete"/>
  </r>
  <r>
    <x v="77"/>
    <s v="Chris"/>
    <d v="2026-03-16T00:00:00"/>
    <s v="9013776718"/>
    <s v="chris@gmail.com"/>
    <n v="2099"/>
    <s v="Chennai"/>
    <x v="1"/>
    <s v="Phone"/>
    <s v="Complete"/>
  </r>
  <r>
    <x v="78"/>
    <s v="David"/>
    <d v="2026-03-09T00:00:00"/>
    <s v="903189690"/>
    <s v="david@gmail.com"/>
    <n v="2129"/>
    <s v="Mumbai"/>
    <x v="1"/>
    <s v="Phone"/>
    <s v="Complete"/>
  </r>
  <r>
    <x v="79"/>
    <s v="Anna Smith"/>
    <d v="2026-03-15T00:00:00"/>
    <s v="9127419556"/>
    <s v="annasmith@gmail.com"/>
    <n v="1650"/>
    <s v="Hyderabad"/>
    <x v="0"/>
    <s v="Tablet"/>
    <s v="Pending"/>
  </r>
  <r>
    <x v="80"/>
    <s v="Alex"/>
    <d v="2026-03-09T00:00:00"/>
    <s v="9296213171"/>
    <s v="alex@gmail.com"/>
    <n v="5634"/>
    <s v="Pune"/>
    <x v="1"/>
    <s v="Tablet"/>
    <s v="Pending"/>
  </r>
  <r>
    <x v="81"/>
    <s v="John Doe"/>
    <d v="2026-03-16T00:00:00"/>
    <s v="9343320973"/>
    <s v="johndoe@gmail.com"/>
    <n v="1863"/>
    <s v="Kolkata"/>
    <x v="0"/>
    <s v="Mobile"/>
    <s v="Complete"/>
  </r>
  <r>
    <x v="82"/>
    <s v="Jane Doe"/>
    <d v="2026-03-07T00:00:00"/>
    <s v="9096913093"/>
    <s v="janedoe@gmail.com"/>
    <n v="3216"/>
    <s v="Jaipur"/>
    <x v="1"/>
    <s v="Tablet"/>
    <s v="Pending"/>
  </r>
  <r>
    <x v="83"/>
    <s v="Jane Doe"/>
    <d v="2026-03-16T00:00:00"/>
    <s v="9373790314"/>
    <s v="janedoe@gmail.com"/>
    <n v="3960"/>
    <s v="Kolkata"/>
    <x v="1"/>
    <s v="Mobile"/>
    <s v="Pending"/>
  </r>
  <r>
    <x v="84"/>
    <s v="Michael"/>
    <d v="2026-03-14T00:00:00"/>
    <s v="918824249"/>
    <s v="michael@gmail.com"/>
    <n v="1939"/>
    <s v="Chennai"/>
    <x v="1"/>
    <s v="Mobile"/>
    <s v="Complete"/>
  </r>
  <r>
    <x v="85"/>
    <s v="Sarah Lee"/>
    <d v="2026-03-07T00:00:00"/>
    <s v="9561515"/>
    <s v="sarahlee@gmail.com"/>
    <n v="3370"/>
    <s v="Delhi"/>
    <x v="0"/>
    <s v="Phone"/>
    <s v="Complete"/>
  </r>
  <r>
    <x v="86"/>
    <s v="John Doe"/>
    <d v="2026-03-14T00:00:00"/>
    <s v="9801579006"/>
    <s v="johndoe@gmail.com"/>
    <n v="4399"/>
    <s v="Mumbai"/>
    <x v="1"/>
    <s v="Mobile"/>
    <s v="Complete"/>
  </r>
  <r>
    <x v="87"/>
    <s v="Chris"/>
    <d v="2026-03-09T00:00:00"/>
    <s v="9453963843"/>
    <s v="chris@gmail.com"/>
    <n v="4600"/>
    <s v="Ahmedabad"/>
    <x v="0"/>
    <s v="Phone"/>
    <s v="Pending"/>
  </r>
  <r>
    <x v="88"/>
    <s v="Alex"/>
    <d v="2026-03-15T00:00:00"/>
    <s v="929086689"/>
    <s v="alex@gmail.com"/>
    <n v="3724"/>
    <s v="Hyderabad"/>
    <x v="1"/>
    <s v="Tablet"/>
    <s v="Complete"/>
  </r>
  <r>
    <x v="89"/>
    <s v="John Doe"/>
    <d v="2026-03-16T00:00:00"/>
    <s v="9494960671"/>
    <s v="johndoe@gmail.com"/>
    <n v="4964"/>
    <s v="Hyderabad"/>
    <x v="0"/>
    <s v="Phone"/>
    <s v="Pending"/>
  </r>
  <r>
    <x v="90"/>
    <s v="Michael"/>
    <d v="2026-03-11T00:00:00"/>
    <s v="9194067"/>
    <s v="michael@gmail.com"/>
    <n v="1860"/>
    <s v="Hyderabad"/>
    <x v="0"/>
    <s v="Laptop"/>
    <s v="Complete"/>
  </r>
  <r>
    <x v="91"/>
    <s v="Chris"/>
    <d v="2026-03-15T00:00:00"/>
    <s v="9168078316"/>
    <s v="chris@gmail.com"/>
    <n v="4297"/>
    <s v="Bangalore"/>
    <x v="1"/>
    <s v="Laptop"/>
    <s v="Complete"/>
  </r>
  <r>
    <x v="92"/>
    <s v="Alex"/>
    <d v="2026-03-09T00:00:00"/>
    <s v="9941979625"/>
    <s v="alex@gmail.com"/>
    <n v="3333"/>
    <s v="Ahmedabad"/>
    <x v="0"/>
    <s v="Laptop"/>
    <s v="Complete"/>
  </r>
  <r>
    <x v="93"/>
    <s v="Sarah Lee"/>
    <d v="2026-03-09T00:00:00"/>
    <s v="9210958992"/>
    <s v="sarahlee@gmail.com"/>
    <n v="2933"/>
    <s v="Chennai"/>
    <x v="0"/>
    <s v="Tablet"/>
    <s v="Complete"/>
  </r>
  <r>
    <x v="94"/>
    <s v="David"/>
    <d v="2026-03-15T00:00:00"/>
    <s v="9066163301"/>
    <s v="david@gmail.com"/>
    <n v="4870"/>
    <s v="Bangalore"/>
    <x v="1"/>
    <s v="Mobile"/>
    <s v="Complete"/>
  </r>
  <r>
    <x v="95"/>
    <s v="Anna Smith"/>
    <d v="2026-03-13T00:00:00"/>
    <s v="982522784"/>
    <s v="annasmith@gmail.com"/>
    <n v="3051"/>
    <s v="Pune"/>
    <x v="1"/>
    <s v="Phone"/>
    <s v="Complete"/>
  </r>
  <r>
    <x v="96"/>
    <s v="Robert"/>
    <d v="2026-03-14T00:00:00"/>
    <s v="998012810"/>
    <s v="robert@gmail.com"/>
    <n v="1018"/>
    <s v="Mumbai"/>
    <x v="1"/>
    <s v="Tablet"/>
    <s v="Pending"/>
  </r>
  <r>
    <x v="97"/>
    <s v="David"/>
    <d v="2026-03-16T00:00:00"/>
    <s v="9491692372"/>
    <s v="david@gmail.com"/>
    <n v="4753"/>
    <s v="Kolkata"/>
    <x v="0"/>
    <s v="Phone"/>
    <s v="Complete"/>
  </r>
  <r>
    <x v="98"/>
    <s v="Alex"/>
    <d v="2026-03-10T00:00:00"/>
    <s v="9796360"/>
    <s v="alex@gmail.com"/>
    <n v="5339"/>
    <s v="Jaipur"/>
    <x v="1"/>
    <s v="Mobile"/>
    <s v="Complete"/>
  </r>
  <r>
    <x v="99"/>
    <s v="Anna Smith"/>
    <d v="2026-03-12T00:00:00"/>
    <s v="9547591253"/>
    <s v="annasmith@gmail.com"/>
    <n v="1252"/>
    <s v="Kolkata"/>
    <x v="1"/>
    <s v="Laptop"/>
    <s v="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x v="0"/>
    <s v="Chris"/>
    <d v="2026-03-09T00:00:00"/>
    <s v="9897989899"/>
    <s v="chris@gmail.com"/>
    <n v="3232"/>
    <x v="0"/>
    <x v="0"/>
    <x v="0"/>
    <s v="Complete"/>
  </r>
  <r>
    <x v="1"/>
    <s v="Sarah Lee"/>
    <d v="2026-03-07T00:00:00"/>
    <s v="9558386023"/>
    <s v="sarahlee@gmail.com"/>
    <n v="1241"/>
    <x v="1"/>
    <x v="0"/>
    <x v="1"/>
    <s v="Complete"/>
  </r>
  <r>
    <x v="2"/>
    <s v="Michael"/>
    <d v="2026-03-10T00:00:00"/>
    <s v="9327819786"/>
    <s v="michael@gmail.com"/>
    <n v="2877"/>
    <x v="2"/>
    <x v="0"/>
    <x v="2"/>
    <s v="Pending"/>
  </r>
  <r>
    <x v="3"/>
    <s v="John Doe"/>
    <d v="2026-03-12T00:00:00"/>
    <s v="982899679"/>
    <s v="johndoe@gmail.com"/>
    <n v="4578"/>
    <x v="2"/>
    <x v="0"/>
    <x v="3"/>
    <s v="Pending"/>
  </r>
  <r>
    <x v="4"/>
    <s v="Emily"/>
    <d v="2026-03-14T00:00:00"/>
    <s v="9860772485"/>
    <s v="emily@gmail.com"/>
    <n v="3755"/>
    <x v="3"/>
    <x v="1"/>
    <x v="0"/>
    <s v="Pending"/>
  </r>
  <r>
    <x v="5"/>
    <s v="Sarah Lee"/>
    <d v="2026-03-08T00:00:00"/>
    <s v="9712224478"/>
    <s v="sarahlee@gmail.com"/>
    <n v="4190"/>
    <x v="4"/>
    <x v="1"/>
    <x v="2"/>
    <s v="Complete"/>
  </r>
  <r>
    <x v="6"/>
    <s v="Chris"/>
    <d v="2026-03-07T00:00:00"/>
    <s v="9875184380"/>
    <s v="chris@gmail.com"/>
    <n v="2058"/>
    <x v="5"/>
    <x v="0"/>
    <x v="1"/>
    <s v="Complete"/>
  </r>
  <r>
    <x v="7"/>
    <s v="Michael"/>
    <d v="2026-03-10T00:00:00"/>
    <s v="9428520226"/>
    <s v="michael@gmail.com"/>
    <n v="4970"/>
    <x v="2"/>
    <x v="0"/>
    <x v="3"/>
    <s v="Pending"/>
  </r>
  <r>
    <x v="8"/>
    <s v="Sarah Lee"/>
    <d v="2026-03-11T00:00:00"/>
    <s v="9321418377"/>
    <s v="sarahlee@gmail.com"/>
    <n v="4108"/>
    <x v="5"/>
    <x v="1"/>
    <x v="3"/>
    <s v="Complete"/>
  </r>
  <r>
    <x v="9"/>
    <s v="Alex"/>
    <d v="2026-03-10T00:00:00"/>
    <s v="952573594"/>
    <s v="alex@gmail.com"/>
    <n v="2697"/>
    <x v="6"/>
    <x v="0"/>
    <x v="1"/>
    <s v="Complete"/>
  </r>
  <r>
    <x v="10"/>
    <s v="Emily"/>
    <d v="2026-03-08T00:00:00"/>
    <s v="9088634"/>
    <s v="emily@gmail.com"/>
    <n v="2226"/>
    <x v="2"/>
    <x v="0"/>
    <x v="0"/>
    <s v="Complete"/>
  </r>
  <r>
    <x v="11"/>
    <s v="Jane Doe"/>
    <d v="2026-03-16T00:00:00"/>
    <s v="9327374620"/>
    <s v="janedoe@gmail.com"/>
    <n v="2141"/>
    <x v="7"/>
    <x v="0"/>
    <x v="2"/>
    <s v="Complete"/>
  </r>
  <r>
    <x v="12"/>
    <s v="Sarah Lee"/>
    <d v="2026-03-16T00:00:00"/>
    <s v="909030091"/>
    <s v="sarahlee@gmail.com"/>
    <n v="4944"/>
    <x v="5"/>
    <x v="0"/>
    <x v="2"/>
    <s v="Pending"/>
  </r>
  <r>
    <x v="13"/>
    <s v="Robert"/>
    <d v="2026-03-14T00:00:00"/>
    <s v="949786321"/>
    <s v="robert@gmail.com"/>
    <n v="5223"/>
    <x v="5"/>
    <x v="0"/>
    <x v="3"/>
    <s v="Complete"/>
  </r>
  <r>
    <x v="14"/>
    <s v="Sarah Lee"/>
    <d v="2026-03-07T00:00:00"/>
    <s v="9207171738"/>
    <s v="sarahlee@gmail.com"/>
    <n v="5566"/>
    <x v="5"/>
    <x v="0"/>
    <x v="1"/>
    <s v="Pending"/>
  </r>
  <r>
    <x v="15"/>
    <s v="Chris"/>
    <d v="2026-03-11T00:00:00"/>
    <s v="9560797352"/>
    <s v="chris@gmail.com"/>
    <n v="2080"/>
    <x v="8"/>
    <x v="0"/>
    <x v="2"/>
    <s v="Complete"/>
  </r>
  <r>
    <x v="16"/>
    <s v="Emily"/>
    <d v="2026-03-09T00:00:00"/>
    <s v="9986023765"/>
    <s v="emily@gmail.com"/>
    <n v="3548"/>
    <x v="3"/>
    <x v="1"/>
    <x v="2"/>
    <s v="Pending"/>
  </r>
  <r>
    <x v="17"/>
    <s v="Chris"/>
    <d v="2026-03-13T00:00:00"/>
    <s v="9239533"/>
    <s v="chris@gmail.com"/>
    <n v="2991"/>
    <x v="7"/>
    <x v="0"/>
    <x v="3"/>
    <s v="Complete"/>
  </r>
  <r>
    <x v="18"/>
    <s v="Chris"/>
    <d v="2026-03-12T00:00:00"/>
    <s v="9309635814"/>
    <s v="chris@gmail.com"/>
    <n v="3238"/>
    <x v="2"/>
    <x v="1"/>
    <x v="0"/>
    <s v="Pending"/>
  </r>
  <r>
    <x v="19"/>
    <s v="Sarah Lee"/>
    <d v="2026-03-08T00:00:00"/>
    <s v="9587836292"/>
    <s v="sarahlee@gmail.com"/>
    <n v="5291"/>
    <x v="5"/>
    <x v="1"/>
    <x v="3"/>
    <s v="Pending"/>
  </r>
  <r>
    <x v="20"/>
    <s v="Emily"/>
    <d v="2026-03-11T00:00:00"/>
    <s v="9166436490"/>
    <s v="emily@gmail.com"/>
    <n v="4925"/>
    <x v="6"/>
    <x v="0"/>
    <x v="0"/>
    <s v="Complete"/>
  </r>
  <r>
    <x v="21"/>
    <s v="Robert"/>
    <d v="2026-03-10T00:00:00"/>
    <s v="9302112943"/>
    <s v="robert@gmail.com"/>
    <n v="5627"/>
    <x v="5"/>
    <x v="1"/>
    <x v="2"/>
    <s v="Complete"/>
  </r>
  <r>
    <x v="22"/>
    <s v="Anna Smith"/>
    <d v="2026-03-14T00:00:00"/>
    <s v="9651517836"/>
    <s v="annasmith@gmail.com"/>
    <n v="2836"/>
    <x v="1"/>
    <x v="0"/>
    <x v="1"/>
    <s v="Complete"/>
  </r>
  <r>
    <x v="23"/>
    <s v="David"/>
    <d v="2026-03-10T00:00:00"/>
    <s v="9456450560"/>
    <s v="david@gmail.com"/>
    <n v="3540"/>
    <x v="2"/>
    <x v="0"/>
    <x v="1"/>
    <s v="Complete"/>
  </r>
  <r>
    <x v="24"/>
    <s v="Jane Doe"/>
    <d v="2026-03-11T00:00:00"/>
    <s v="9490687752"/>
    <s v="janedoe@gmail.com"/>
    <n v="4899"/>
    <x v="6"/>
    <x v="1"/>
    <x v="3"/>
    <s v="Complete"/>
  </r>
  <r>
    <x v="25"/>
    <s v="Michael"/>
    <d v="2026-03-11T00:00:00"/>
    <s v="9026633344"/>
    <s v="michael@gmail.com"/>
    <n v="1311"/>
    <x v="2"/>
    <x v="0"/>
    <x v="1"/>
    <s v="Complete"/>
  </r>
  <r>
    <x v="26"/>
    <s v="David"/>
    <d v="2026-03-12T00:00:00"/>
    <s v="9822113157"/>
    <s v="david@gmail.com"/>
    <n v="4303"/>
    <x v="9"/>
    <x v="1"/>
    <x v="1"/>
    <s v="Complete"/>
  </r>
  <r>
    <x v="27"/>
    <s v="Emily"/>
    <d v="2026-03-15T00:00:00"/>
    <s v="9926148"/>
    <s v="emily@gmail.com"/>
    <n v="4510"/>
    <x v="0"/>
    <x v="0"/>
    <x v="0"/>
    <s v="Complete"/>
  </r>
  <r>
    <x v="28"/>
    <s v="Sarah Lee"/>
    <d v="2026-03-11T00:00:00"/>
    <s v="9840168459"/>
    <s v="sarahlee@gmail.com"/>
    <n v="1605"/>
    <x v="2"/>
    <x v="1"/>
    <x v="0"/>
    <s v="Pending"/>
  </r>
  <r>
    <x v="29"/>
    <s v="Jane Doe"/>
    <d v="2026-03-16T00:00:00"/>
    <s v="977876612"/>
    <s v="janedoe@gmail.com"/>
    <n v="4456"/>
    <x v="6"/>
    <x v="1"/>
    <x v="3"/>
    <s v="Complete"/>
  </r>
  <r>
    <x v="30"/>
    <s v="Chris"/>
    <d v="2026-03-07T00:00:00"/>
    <s v="9006350"/>
    <s v="chris@gmail.com"/>
    <n v="3139"/>
    <x v="2"/>
    <x v="1"/>
    <x v="2"/>
    <s v="Pending"/>
  </r>
  <r>
    <x v="31"/>
    <s v="Emily"/>
    <d v="2026-03-10T00:00:00"/>
    <s v="9357446896"/>
    <s v="emily@gmail.com"/>
    <n v="2125"/>
    <x v="4"/>
    <x v="1"/>
    <x v="3"/>
    <s v="Complete"/>
  </r>
  <r>
    <x v="32"/>
    <s v="John Doe"/>
    <d v="2026-03-12T00:00:00"/>
    <s v="9738174111"/>
    <s v="johndoe@gmail.com"/>
    <n v="5414"/>
    <x v="9"/>
    <x v="1"/>
    <x v="2"/>
    <s v="Complete"/>
  </r>
  <r>
    <x v="33"/>
    <s v="Sarah Lee"/>
    <d v="2026-03-14T00:00:00"/>
    <s v="9082092328"/>
    <s v="sarahlee@gmail.com"/>
    <n v="3078"/>
    <x v="6"/>
    <x v="1"/>
    <x v="1"/>
    <s v="Complete"/>
  </r>
  <r>
    <x v="34"/>
    <s v="David"/>
    <d v="2026-03-07T00:00:00"/>
    <s v="9333438882"/>
    <s v="david@gmail.com"/>
    <n v="3180"/>
    <x v="9"/>
    <x v="1"/>
    <x v="0"/>
    <s v="Complete"/>
  </r>
  <r>
    <x v="35"/>
    <s v="Alex"/>
    <d v="2026-03-14T00:00:00"/>
    <s v="9460696530"/>
    <s v="alex@gmail.com"/>
    <n v="1284"/>
    <x v="2"/>
    <x v="0"/>
    <x v="2"/>
    <s v="Pending"/>
  </r>
  <r>
    <x v="36"/>
    <s v="David"/>
    <d v="2026-03-11T00:00:00"/>
    <s v="9872943352"/>
    <s v="david@gmail.com"/>
    <n v="4441"/>
    <x v="4"/>
    <x v="1"/>
    <x v="2"/>
    <s v="Complete"/>
  </r>
  <r>
    <x v="37"/>
    <s v="Jane Doe"/>
    <d v="2026-03-14T00:00:00"/>
    <s v="9859265079"/>
    <s v="janedoe@gmail.com"/>
    <n v="3970"/>
    <x v="2"/>
    <x v="0"/>
    <x v="3"/>
    <s v="Pending"/>
  </r>
  <r>
    <x v="38"/>
    <s v="Emily"/>
    <d v="2026-03-14T00:00:00"/>
    <s v="9263915681"/>
    <s v="emily@gmail.com"/>
    <n v="3073"/>
    <x v="9"/>
    <x v="0"/>
    <x v="1"/>
    <s v="Complete"/>
  </r>
  <r>
    <x v="39"/>
    <s v="Anna Smith"/>
    <d v="2026-03-16T00:00:00"/>
    <s v="9156822905"/>
    <s v="annasmith@gmail.com"/>
    <n v="4641"/>
    <x v="6"/>
    <x v="1"/>
    <x v="1"/>
    <s v="Complete"/>
  </r>
  <r>
    <x v="40"/>
    <s v="Anna Smith"/>
    <d v="2026-03-08T00:00:00"/>
    <s v="9891611996"/>
    <s v="annasmith@gmail.com"/>
    <n v="5876"/>
    <x v="3"/>
    <x v="0"/>
    <x v="0"/>
    <s v="Pending"/>
  </r>
  <r>
    <x v="41"/>
    <s v="Emily"/>
    <d v="2026-03-14T00:00:00"/>
    <s v="9012677101"/>
    <s v="emily@gmail.com"/>
    <n v="1628"/>
    <x v="0"/>
    <x v="1"/>
    <x v="0"/>
    <s v="Complete"/>
  </r>
  <r>
    <x v="42"/>
    <s v="Alex"/>
    <d v="2026-03-11T00:00:00"/>
    <s v="9225284756"/>
    <s v="alex@gmail.com"/>
    <n v="1698"/>
    <x v="6"/>
    <x v="1"/>
    <x v="3"/>
    <s v="Complete"/>
  </r>
  <r>
    <x v="43"/>
    <s v="Jane Doe"/>
    <d v="2026-03-15T00:00:00"/>
    <s v="9869353"/>
    <s v="janedoe@gmail.com"/>
    <n v="1112"/>
    <x v="9"/>
    <x v="1"/>
    <x v="1"/>
    <s v="Complete"/>
  </r>
  <r>
    <x v="44"/>
    <s v="John Doe"/>
    <d v="2026-03-11T00:00:00"/>
    <s v="9805601"/>
    <s v="johndoe@gmail.com"/>
    <n v="3852"/>
    <x v="8"/>
    <x v="1"/>
    <x v="2"/>
    <s v="Complete"/>
  </r>
  <r>
    <x v="45"/>
    <s v="Anna Smith"/>
    <d v="2026-03-08T00:00:00"/>
    <s v="9109926"/>
    <s v="annasmith@gmail.com"/>
    <n v="1207"/>
    <x v="8"/>
    <x v="1"/>
    <x v="2"/>
    <s v="Pending"/>
  </r>
  <r>
    <x v="46"/>
    <s v="Sarah Lee"/>
    <d v="2026-03-11T00:00:00"/>
    <s v="9438339"/>
    <s v="sarahlee@gmail.com"/>
    <n v="4880"/>
    <x v="3"/>
    <x v="0"/>
    <x v="0"/>
    <s v="Pending"/>
  </r>
  <r>
    <x v="47"/>
    <s v="Chris"/>
    <d v="2026-03-15T00:00:00"/>
    <s v="9524842042"/>
    <s v="chris@gmail.com"/>
    <n v="1528"/>
    <x v="5"/>
    <x v="1"/>
    <x v="3"/>
    <s v="Pending"/>
  </r>
  <r>
    <x v="48"/>
    <s v="Chris"/>
    <d v="2026-03-11T00:00:00"/>
    <s v="903145191"/>
    <s v="chris@gmail.com"/>
    <n v="5787"/>
    <x v="6"/>
    <x v="0"/>
    <x v="1"/>
    <s v="Complete"/>
  </r>
  <r>
    <x v="49"/>
    <s v="Emily"/>
    <d v="2026-03-14T00:00:00"/>
    <s v="9506620655"/>
    <s v="emily@gmail.com"/>
    <n v="3569"/>
    <x v="6"/>
    <x v="0"/>
    <x v="3"/>
    <s v="Complete"/>
  </r>
  <r>
    <x v="50"/>
    <s v="John Doe"/>
    <d v="2026-03-14T00:00:00"/>
    <s v="9386610"/>
    <s v="johndoe@gmail.com"/>
    <n v="3625"/>
    <x v="2"/>
    <x v="1"/>
    <x v="1"/>
    <s v="Pending"/>
  </r>
  <r>
    <x v="51"/>
    <s v="Chris"/>
    <d v="2026-03-13T00:00:00"/>
    <s v="9890682062"/>
    <s v="chris@gmail.com"/>
    <n v="3493"/>
    <x v="0"/>
    <x v="1"/>
    <x v="1"/>
    <s v="Complete"/>
  </r>
  <r>
    <x v="52"/>
    <s v="John Doe"/>
    <d v="2026-03-11T00:00:00"/>
    <s v="9389815662"/>
    <s v="johndoe@gmail.com"/>
    <n v="4040"/>
    <x v="7"/>
    <x v="0"/>
    <x v="1"/>
    <s v="Complete"/>
  </r>
  <r>
    <x v="53"/>
    <s v="John Doe"/>
    <d v="2026-03-10T00:00:00"/>
    <s v="9267138230"/>
    <s v="johndoe@gmail.com"/>
    <n v="3859"/>
    <x v="1"/>
    <x v="1"/>
    <x v="0"/>
    <s v="Complete"/>
  </r>
  <r>
    <x v="54"/>
    <s v="Robert"/>
    <d v="2026-03-11T00:00:00"/>
    <s v="929144428"/>
    <s v="robert@gmail.com"/>
    <n v="4469"/>
    <x v="2"/>
    <x v="0"/>
    <x v="0"/>
    <s v="Pending"/>
  </r>
  <r>
    <x v="55"/>
    <s v="Chris"/>
    <d v="2026-03-07T00:00:00"/>
    <s v="9154731027"/>
    <s v="chris@gmail.com"/>
    <n v="2501"/>
    <x v="5"/>
    <x v="1"/>
    <x v="3"/>
    <s v="Complete"/>
  </r>
  <r>
    <x v="56"/>
    <s v="Alex"/>
    <d v="2026-03-13T00:00:00"/>
    <s v="9153895"/>
    <s v="alex@gmail.com"/>
    <n v="3837"/>
    <x v="4"/>
    <x v="1"/>
    <x v="3"/>
    <s v="Complete"/>
  </r>
  <r>
    <x v="57"/>
    <s v="Sarah Lee"/>
    <d v="2026-03-09T00:00:00"/>
    <s v="9744320428"/>
    <s v="sarahlee@gmail.com"/>
    <n v="3912"/>
    <x v="4"/>
    <x v="1"/>
    <x v="0"/>
    <s v="Pending"/>
  </r>
  <r>
    <x v="58"/>
    <s v="Anna Smith"/>
    <d v="2026-03-07T00:00:00"/>
    <s v="9153330970"/>
    <s v="annasmith@gmail.com"/>
    <n v="3306"/>
    <x v="7"/>
    <x v="1"/>
    <x v="3"/>
    <s v="Complete"/>
  </r>
  <r>
    <x v="59"/>
    <s v="Alex"/>
    <d v="2026-03-08T00:00:00"/>
    <s v="9532351903"/>
    <s v="alex@gmail.com"/>
    <n v="4193"/>
    <x v="0"/>
    <x v="1"/>
    <x v="1"/>
    <s v="Complete"/>
  </r>
  <r>
    <x v="60"/>
    <s v="David"/>
    <d v="2026-03-10T00:00:00"/>
    <s v="9105888"/>
    <s v="david@gmail.com"/>
    <n v="2459"/>
    <x v="5"/>
    <x v="1"/>
    <x v="0"/>
    <s v="Complete"/>
  </r>
  <r>
    <x v="61"/>
    <s v="Jane Doe"/>
    <d v="2026-03-08T00:00:00"/>
    <s v="9515621272"/>
    <s v="janedoe@gmail.com"/>
    <n v="3148"/>
    <x v="9"/>
    <x v="0"/>
    <x v="1"/>
    <s v="Complete"/>
  </r>
  <r>
    <x v="62"/>
    <s v="John Doe"/>
    <d v="2026-03-07T00:00:00"/>
    <s v="9812166804"/>
    <s v="johndoe@gmail.com"/>
    <n v="4108"/>
    <x v="9"/>
    <x v="0"/>
    <x v="3"/>
    <s v="Complete"/>
  </r>
  <r>
    <x v="63"/>
    <s v="David"/>
    <d v="2026-03-09T00:00:00"/>
    <s v="9641124760"/>
    <s v="david@gmail.com"/>
    <n v="4939"/>
    <x v="7"/>
    <x v="0"/>
    <x v="1"/>
    <s v="Complete"/>
  </r>
  <r>
    <x v="64"/>
    <s v="Michael"/>
    <d v="2026-03-16T00:00:00"/>
    <s v="991849737"/>
    <s v="michael@gmail.com"/>
    <n v="2240"/>
    <x v="1"/>
    <x v="0"/>
    <x v="0"/>
    <s v="Pending"/>
  </r>
  <r>
    <x v="65"/>
    <s v="Alex"/>
    <d v="2026-03-14T00:00:00"/>
    <s v="9754213224"/>
    <s v="alex@gmail.com"/>
    <n v="4033"/>
    <x v="0"/>
    <x v="0"/>
    <x v="3"/>
    <s v="Pending"/>
  </r>
  <r>
    <x v="66"/>
    <s v="Alex"/>
    <d v="2026-03-15T00:00:00"/>
    <s v="9839108465"/>
    <s v="alex@gmail.com"/>
    <n v="4553"/>
    <x v="7"/>
    <x v="0"/>
    <x v="1"/>
    <s v="Complete"/>
  </r>
  <r>
    <x v="67"/>
    <s v="Chris"/>
    <d v="2026-03-09T00:00:00"/>
    <s v="985902257"/>
    <s v="chris@gmail.com"/>
    <n v="3490"/>
    <x v="3"/>
    <x v="0"/>
    <x v="0"/>
    <s v="Pending"/>
  </r>
  <r>
    <x v="68"/>
    <s v="Sarah Lee"/>
    <d v="2026-03-10T00:00:00"/>
    <s v="923355790"/>
    <s v="sarahlee@gmail.com"/>
    <n v="2519"/>
    <x v="2"/>
    <x v="0"/>
    <x v="3"/>
    <s v="Pending"/>
  </r>
  <r>
    <x v="69"/>
    <s v="Anna Smith"/>
    <d v="2026-03-13T00:00:00"/>
    <s v="9070710"/>
    <s v="annasmith@gmail.com"/>
    <n v="3604"/>
    <x v="1"/>
    <x v="1"/>
    <x v="3"/>
    <s v="Complete"/>
  </r>
  <r>
    <x v="70"/>
    <s v="Alex"/>
    <d v="2026-03-10T00:00:00"/>
    <s v="9278752212"/>
    <s v="alex@gmail.com"/>
    <n v="4843"/>
    <x v="8"/>
    <x v="1"/>
    <x v="0"/>
    <s v="Complete"/>
  </r>
  <r>
    <x v="71"/>
    <s v="Alex"/>
    <d v="2026-03-10T00:00:00"/>
    <s v="9394997205"/>
    <s v="alex@gmail.com"/>
    <n v="4338"/>
    <x v="2"/>
    <x v="1"/>
    <x v="2"/>
    <s v="Complete"/>
  </r>
  <r>
    <x v="72"/>
    <s v="Emily"/>
    <d v="2026-03-16T00:00:00"/>
    <s v="9085162705"/>
    <s v="emily@gmail.com"/>
    <n v="1068"/>
    <x v="8"/>
    <x v="0"/>
    <x v="0"/>
    <s v="Complete"/>
  </r>
  <r>
    <x v="73"/>
    <s v="Alex"/>
    <d v="2026-03-09T00:00:00"/>
    <s v="928555047"/>
    <s v="alex@gmail.com"/>
    <n v="3191"/>
    <x v="1"/>
    <x v="1"/>
    <x v="1"/>
    <s v="Complete"/>
  </r>
  <r>
    <x v="74"/>
    <s v="John Doe"/>
    <d v="2026-03-10T00:00:00"/>
    <s v="997871767"/>
    <s v="johndoe@gmail.com"/>
    <n v="4110"/>
    <x v="5"/>
    <x v="0"/>
    <x v="2"/>
    <s v="Pending"/>
  </r>
  <r>
    <x v="75"/>
    <s v="Alex"/>
    <d v="2026-03-13T00:00:00"/>
    <s v="970581993"/>
    <s v="alex@gmail.com"/>
    <n v="3853"/>
    <x v="1"/>
    <x v="1"/>
    <x v="2"/>
    <s v="Complete"/>
  </r>
  <r>
    <x v="76"/>
    <s v="Emily"/>
    <d v="2026-03-07T00:00:00"/>
    <s v="9219428529"/>
    <s v="emily@gmail.com"/>
    <n v="2190"/>
    <x v="5"/>
    <x v="1"/>
    <x v="1"/>
    <s v="Complete"/>
  </r>
  <r>
    <x v="77"/>
    <s v="Chris"/>
    <d v="2026-03-16T00:00:00"/>
    <s v="9013776718"/>
    <s v="chris@gmail.com"/>
    <n v="2099"/>
    <x v="9"/>
    <x v="1"/>
    <x v="1"/>
    <s v="Complete"/>
  </r>
  <r>
    <x v="78"/>
    <s v="David"/>
    <d v="2026-03-09T00:00:00"/>
    <s v="903189690"/>
    <s v="david@gmail.com"/>
    <n v="2129"/>
    <x v="4"/>
    <x v="1"/>
    <x v="1"/>
    <s v="Complete"/>
  </r>
  <r>
    <x v="79"/>
    <s v="Anna Smith"/>
    <d v="2026-03-15T00:00:00"/>
    <s v="9127419556"/>
    <s v="annasmith@gmail.com"/>
    <n v="1650"/>
    <x v="7"/>
    <x v="0"/>
    <x v="0"/>
    <s v="Pending"/>
  </r>
  <r>
    <x v="80"/>
    <s v="Alex"/>
    <d v="2026-03-09T00:00:00"/>
    <s v="9296213171"/>
    <s v="alex@gmail.com"/>
    <n v="5634"/>
    <x v="5"/>
    <x v="1"/>
    <x v="0"/>
    <s v="Pending"/>
  </r>
  <r>
    <x v="81"/>
    <s v="John Doe"/>
    <d v="2026-03-16T00:00:00"/>
    <s v="9343320973"/>
    <s v="johndoe@gmail.com"/>
    <n v="1863"/>
    <x v="6"/>
    <x v="0"/>
    <x v="2"/>
    <s v="Complete"/>
  </r>
  <r>
    <x v="82"/>
    <s v="Jane Doe"/>
    <d v="2026-03-07T00:00:00"/>
    <s v="9096913093"/>
    <s v="janedoe@gmail.com"/>
    <n v="3216"/>
    <x v="8"/>
    <x v="1"/>
    <x v="0"/>
    <s v="Pending"/>
  </r>
  <r>
    <x v="83"/>
    <s v="Jane Doe"/>
    <d v="2026-03-16T00:00:00"/>
    <s v="9373790314"/>
    <s v="janedoe@gmail.com"/>
    <n v="3960"/>
    <x v="6"/>
    <x v="1"/>
    <x v="2"/>
    <s v="Pending"/>
  </r>
  <r>
    <x v="84"/>
    <s v="Michael"/>
    <d v="2026-03-14T00:00:00"/>
    <s v="918824249"/>
    <s v="michael@gmail.com"/>
    <n v="1939"/>
    <x v="9"/>
    <x v="1"/>
    <x v="2"/>
    <s v="Complete"/>
  </r>
  <r>
    <x v="85"/>
    <s v="Sarah Lee"/>
    <d v="2026-03-07T00:00:00"/>
    <s v="9561515"/>
    <s v="sarahlee@gmail.com"/>
    <n v="3370"/>
    <x v="2"/>
    <x v="0"/>
    <x v="1"/>
    <s v="Complete"/>
  </r>
  <r>
    <x v="86"/>
    <s v="John Doe"/>
    <d v="2026-03-14T00:00:00"/>
    <s v="9801579006"/>
    <s v="johndoe@gmail.com"/>
    <n v="4399"/>
    <x v="4"/>
    <x v="1"/>
    <x v="2"/>
    <s v="Complete"/>
  </r>
  <r>
    <x v="87"/>
    <s v="Chris"/>
    <d v="2026-03-09T00:00:00"/>
    <s v="9453963843"/>
    <s v="chris@gmail.com"/>
    <n v="4600"/>
    <x v="1"/>
    <x v="0"/>
    <x v="1"/>
    <s v="Pending"/>
  </r>
  <r>
    <x v="88"/>
    <s v="Alex"/>
    <d v="2026-03-15T00:00:00"/>
    <s v="929086689"/>
    <s v="alex@gmail.com"/>
    <n v="3724"/>
    <x v="7"/>
    <x v="1"/>
    <x v="0"/>
    <s v="Complete"/>
  </r>
  <r>
    <x v="89"/>
    <s v="John Doe"/>
    <d v="2026-03-16T00:00:00"/>
    <s v="9494960671"/>
    <s v="johndoe@gmail.com"/>
    <n v="4964"/>
    <x v="7"/>
    <x v="0"/>
    <x v="1"/>
    <s v="Pending"/>
  </r>
  <r>
    <x v="90"/>
    <s v="Michael"/>
    <d v="2026-03-11T00:00:00"/>
    <s v="9194067"/>
    <s v="michael@gmail.com"/>
    <n v="1860"/>
    <x v="7"/>
    <x v="0"/>
    <x v="3"/>
    <s v="Complete"/>
  </r>
  <r>
    <x v="91"/>
    <s v="Chris"/>
    <d v="2026-03-15T00:00:00"/>
    <s v="9168078316"/>
    <s v="chris@gmail.com"/>
    <n v="4297"/>
    <x v="3"/>
    <x v="1"/>
    <x v="3"/>
    <s v="Complete"/>
  </r>
  <r>
    <x v="92"/>
    <s v="Alex"/>
    <d v="2026-03-09T00:00:00"/>
    <s v="9941979625"/>
    <s v="alex@gmail.com"/>
    <n v="3333"/>
    <x v="1"/>
    <x v="0"/>
    <x v="3"/>
    <s v="Complete"/>
  </r>
  <r>
    <x v="93"/>
    <s v="Sarah Lee"/>
    <d v="2026-03-09T00:00:00"/>
    <s v="9210958992"/>
    <s v="sarahlee@gmail.com"/>
    <n v="2933"/>
    <x v="9"/>
    <x v="0"/>
    <x v="0"/>
    <s v="Complete"/>
  </r>
  <r>
    <x v="94"/>
    <s v="David"/>
    <d v="2026-03-15T00:00:00"/>
    <s v="9066163301"/>
    <s v="david@gmail.com"/>
    <n v="4870"/>
    <x v="3"/>
    <x v="1"/>
    <x v="2"/>
    <s v="Complete"/>
  </r>
  <r>
    <x v="95"/>
    <s v="Anna Smith"/>
    <d v="2026-03-13T00:00:00"/>
    <s v="982522784"/>
    <s v="annasmith@gmail.com"/>
    <n v="3051"/>
    <x v="5"/>
    <x v="1"/>
    <x v="1"/>
    <s v="Complete"/>
  </r>
  <r>
    <x v="96"/>
    <s v="Robert"/>
    <d v="2026-03-14T00:00:00"/>
    <s v="998012810"/>
    <s v="robert@gmail.com"/>
    <n v="1018"/>
    <x v="4"/>
    <x v="1"/>
    <x v="0"/>
    <s v="Pending"/>
  </r>
  <r>
    <x v="97"/>
    <s v="David"/>
    <d v="2026-03-16T00:00:00"/>
    <s v="9491692372"/>
    <s v="david@gmail.com"/>
    <n v="4753"/>
    <x v="6"/>
    <x v="0"/>
    <x v="1"/>
    <s v="Complete"/>
  </r>
  <r>
    <x v="98"/>
    <s v="Alex"/>
    <d v="2026-03-10T00:00:00"/>
    <s v="9796360"/>
    <s v="alex@gmail.com"/>
    <n v="5339"/>
    <x v="8"/>
    <x v="1"/>
    <x v="2"/>
    <s v="Complete"/>
  </r>
  <r>
    <x v="99"/>
    <s v="Anna Smith"/>
    <d v="2026-03-12T00:00:00"/>
    <s v="9547591253"/>
    <s v="annasmith@gmail.com"/>
    <n v="1252"/>
    <x v="6"/>
    <x v="1"/>
    <x v="3"/>
    <s v="Pending"/>
  </r>
  <r>
    <x v="100"/>
    <m/>
    <m/>
    <m/>
    <m/>
    <m/>
    <x v="10"/>
    <x v="2"/>
    <x v="4"/>
    <m/>
  </r>
  <r>
    <x v="100"/>
    <m/>
    <m/>
    <m/>
    <m/>
    <m/>
    <x v="10"/>
    <x v="2"/>
    <x v="4"/>
    <m/>
  </r>
  <r>
    <x v="100"/>
    <m/>
    <m/>
    <m/>
    <m/>
    <m/>
    <x v="10"/>
    <x v="2"/>
    <x v="4"/>
    <m/>
  </r>
  <r>
    <x v="100"/>
    <m/>
    <m/>
    <m/>
    <m/>
    <m/>
    <x v="10"/>
    <x v="2"/>
    <x v="4"/>
    <m/>
  </r>
  <r>
    <x v="100"/>
    <m/>
    <m/>
    <m/>
    <m/>
    <m/>
    <x v="10"/>
    <x v="2"/>
    <x v="4"/>
    <m/>
  </r>
  <r>
    <x v="100"/>
    <m/>
    <m/>
    <m/>
    <m/>
    <m/>
    <x v="10"/>
    <x v="2"/>
    <x v="4"/>
    <m/>
  </r>
  <r>
    <x v="100"/>
    <m/>
    <m/>
    <m/>
    <m/>
    <m/>
    <x v="10"/>
    <x v="2"/>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6BA366-E12E-44D7-B1C9-C72328D3060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Q12:R17" firstHeaderRow="1" firstDataRow="1" firstDataCol="1"/>
  <pivotFields count="10">
    <pivotField showAll="0"/>
    <pivotField showAll="0"/>
    <pivotField showAll="0"/>
    <pivotField showAll="0"/>
    <pivotField showAll="0"/>
    <pivotField dataField="1" showAll="0"/>
    <pivotField showAll="0">
      <items count="12">
        <item h="1" x="1"/>
        <item h="1" x="3"/>
        <item h="1" x="9"/>
        <item h="1" x="2"/>
        <item x="7"/>
        <item h="1" x="8"/>
        <item h="1" x="0"/>
        <item h="1" x="6"/>
        <item h="1" x="4"/>
        <item h="1" x="5"/>
        <item h="1" x="10"/>
        <item t="default"/>
      </items>
    </pivotField>
    <pivotField showAll="0"/>
    <pivotField axis="axisRow" showAll="0">
      <items count="6">
        <item x="3"/>
        <item x="2"/>
        <item x="1"/>
        <item x="0"/>
        <item h="1" x="4"/>
        <item t="default"/>
      </items>
    </pivotField>
    <pivotField showAll="0"/>
  </pivotFields>
  <rowFields count="1">
    <field x="8"/>
  </rowFields>
  <rowItems count="5">
    <i>
      <x/>
    </i>
    <i>
      <x v="1"/>
    </i>
    <i>
      <x v="2"/>
    </i>
    <i>
      <x v="3"/>
    </i>
    <i t="grand">
      <x/>
    </i>
  </rowItems>
  <colItems count="1">
    <i/>
  </colItems>
  <dataFields count="1">
    <dataField name="Sum of Amoun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31EF7A-6E12-4FCA-A128-7ADCDDFA17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Q6:R9" firstHeaderRow="1" firstDataRow="1" firstDataCol="1"/>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numFmtId="14" showAll="0"/>
    <pivotField showAll="0"/>
    <pivotField showAll="0"/>
    <pivotField dataField="1" showAll="0"/>
    <pivotField showAll="0"/>
    <pivotField axis="axisRow" showAll="0">
      <items count="3">
        <item x="1"/>
        <item x="0"/>
        <item t="default"/>
      </items>
    </pivotField>
    <pivotField showAll="0"/>
    <pivotField showAll="0"/>
  </pivotFields>
  <rowFields count="1">
    <field x="7"/>
  </rowFields>
  <rowItems count="3">
    <i>
      <x/>
    </i>
    <i>
      <x v="1"/>
    </i>
    <i t="grand">
      <x/>
    </i>
  </rowItems>
  <colItems count="1">
    <i/>
  </colItems>
  <dataFields count="1">
    <dataField name="Sum of Amount" fld="5" baseField="0" baseItem="0"/>
  </dataFields>
  <chartFormats count="2">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C08242-0ED2-4155-B218-2821CE657D8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12:M15" firstHeaderRow="1" firstDataRow="1" firstDataCol="1"/>
  <pivotFields count="10">
    <pivotField showAll="0"/>
    <pivotField showAll="0"/>
    <pivotField showAll="0"/>
    <pivotField showAll="0"/>
    <pivotField showAll="0"/>
    <pivotField showAll="0"/>
    <pivotField dataField="1" showAll="0"/>
    <pivotField axis="axisRow" showAll="0">
      <items count="4">
        <item x="1"/>
        <item x="0"/>
        <item h="1" x="2"/>
        <item t="default"/>
      </items>
    </pivotField>
    <pivotField showAll="0"/>
    <pivotField showAll="0"/>
  </pivotFields>
  <rowFields count="1">
    <field x="7"/>
  </rowFields>
  <rowItems count="3">
    <i>
      <x/>
    </i>
    <i>
      <x v="1"/>
    </i>
    <i t="grand">
      <x/>
    </i>
  </rowItems>
  <colItems count="1">
    <i/>
  </colItems>
  <dataFields count="1">
    <dataField name="Count of City" fld="6"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1B1204-DDFA-43B3-AC6A-3211288B430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T6:U17" firstHeaderRow="1" firstDataRow="1" firstDataCol="1"/>
  <pivotFields count="10">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showAll="0"/>
    <pivotField dataField="1" showAll="0"/>
    <pivotField axis="axisRow" showAll="0">
      <items count="12">
        <item x="1"/>
        <item x="3"/>
        <item x="9"/>
        <item x="2"/>
        <item x="7"/>
        <item x="8"/>
        <item x="0"/>
        <item x="6"/>
        <item x="4"/>
        <item x="5"/>
        <item h="1" x="10"/>
        <item t="default"/>
      </items>
    </pivotField>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Sum of Amount" fld="5"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1C72CD-126B-4901-A4A6-DF260A638BCC}" autoFormatId="16" applyNumberFormats="0" applyBorderFormats="0" applyFontFormats="0" applyPatternFormats="0" applyAlignmentFormats="0" applyWidthHeightFormats="0">
  <queryTableRefresh nextId="11">
    <queryTableFields count="10">
      <queryTableField id="1" name="ID" tableColumnId="1"/>
      <queryTableField id="2" name="Name" tableColumnId="2"/>
      <queryTableField id="3" name="Date" tableColumnId="3"/>
      <queryTableField id="4" name="Phone" tableColumnId="4"/>
      <queryTableField id="5" name="Email" tableColumnId="5"/>
      <queryTableField id="6" name="Amount" tableColumnId="6"/>
      <queryTableField id="7" name="City" tableColumnId="7"/>
      <queryTableField id="8" name="Gender" tableColumnId="8"/>
      <queryTableField id="9" name="Product" tableColumnId="9"/>
      <queryTableField id="10" name="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052286E-5464-4C0D-AAE1-6DF036BA8EB2}" sourceName="City">
  <pivotTables>
    <pivotTable tabId="2" name="PivotTable2"/>
  </pivotTables>
  <data>
    <tabular pivotCacheId="194105098">
      <items count="11">
        <i x="1"/>
        <i x="3"/>
        <i x="9"/>
        <i x="2"/>
        <i x="7" s="1"/>
        <i x="8"/>
        <i x="0"/>
        <i x="6"/>
        <i x="4"/>
        <i x="5"/>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80C4CF0-2A8C-4EB0-8C6F-BEB6B22331A1}" cache="Slicer_City" caption="City"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59CC62-0102-4034-BD10-85A233A6A2AC}" name="Table2_1" displayName="Table2_1" ref="A1:J101" tableType="queryTable" totalsRowShown="0">
  <autoFilter ref="A1:J101" xr:uid="{8859CC62-0102-4034-BD10-85A233A6A2AC}"/>
  <tableColumns count="10">
    <tableColumn id="1" xr3:uid="{C1F0F13B-D643-4A09-921A-EF89590E302F}" uniqueName="1" name="ID" queryTableFieldId="1"/>
    <tableColumn id="2" xr3:uid="{6CC1BD88-60AB-4402-883F-98AD1D33DA48}" uniqueName="2" name="Name" queryTableFieldId="2" dataDxfId="9"/>
    <tableColumn id="3" xr3:uid="{48A54143-51D0-442F-9628-F4450240B4C5}" uniqueName="3" name="Date" queryTableFieldId="3" dataDxfId="8"/>
    <tableColumn id="4" xr3:uid="{B67DC7BD-2210-42FA-AE8F-CE4A4FECD178}" uniqueName="4" name="Phone" queryTableFieldId="4" dataDxfId="7"/>
    <tableColumn id="5" xr3:uid="{878A6470-6192-444F-A96B-5292F523E173}" uniqueName="5" name="Email" queryTableFieldId="5" dataDxfId="6"/>
    <tableColumn id="6" xr3:uid="{A8924140-8B3C-4F68-AC32-BEAC2A87AEB4}" uniqueName="6" name="Amount" queryTableFieldId="6"/>
    <tableColumn id="7" xr3:uid="{75F749B0-BEA2-42BD-831F-56CAC8DA028C}" uniqueName="7" name="City" queryTableFieldId="7" dataDxfId="5"/>
    <tableColumn id="8" xr3:uid="{1A3EAF2F-BD09-4F13-932B-165E80051590}" uniqueName="8" name="Gender" queryTableFieldId="8" dataDxfId="4"/>
    <tableColumn id="9" xr3:uid="{995123BA-D8E0-4CA7-89EC-ABC901C6C054}" uniqueName="9" name="Product" queryTableFieldId="9" dataDxfId="3"/>
    <tableColumn id="10" xr3:uid="{B8717A9E-FC3B-4F01-96FD-31C8AAEA867C}" uniqueName="10" name="Status" queryTableFieldId="10"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8B8FE0-6CAF-4EE6-A7E1-632610F907F5}" name="Table2" displayName="Table2" ref="A1:J1048576" totalsRowShown="0">
  <autoFilter ref="A1:J1048576" xr:uid="{AC8B8FE0-6CAF-4EE6-A7E1-632610F907F5}"/>
  <tableColumns count="10">
    <tableColumn id="1" xr3:uid="{9F790708-C3DA-4A59-9DEC-72C75AD59972}" name="ID"/>
    <tableColumn id="2" xr3:uid="{87D5027A-E448-4716-9698-084BB5C0FBC8}" name="Name"/>
    <tableColumn id="3" xr3:uid="{69898C42-FC2D-47AA-8D39-BBE5F4C3EF94}" name="Date"/>
    <tableColumn id="4" xr3:uid="{A3967E81-8B69-43A8-9EFE-4B5E54410740}" name="Phone"/>
    <tableColumn id="5" xr3:uid="{73387D1D-5DC0-4A08-92D8-943EBCC48922}" name="Email"/>
    <tableColumn id="6" xr3:uid="{6BE6A085-399D-4B61-BB81-FFDEE331F888}" name="Amount"/>
    <tableColumn id="7" xr3:uid="{1DB1CE05-D480-4183-AF88-94B5434E93F7}" name="City"/>
    <tableColumn id="8" xr3:uid="{F321F26A-2CA1-445D-ACDE-F1B948111E40}" name="Gender"/>
    <tableColumn id="9" xr3:uid="{81F7CE3D-3ABF-449A-9498-4364FAE9698A}" name="Product"/>
    <tableColumn id="10" xr3:uid="{5BCFD0D1-B70D-4484-B32B-6E17E1F0F486}"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F8BBA-CF75-485E-B4E3-27CB25A3E709}">
  <dimension ref="A1:U101"/>
  <sheetViews>
    <sheetView topLeftCell="G1" zoomScale="87" zoomScaleNormal="90" workbookViewId="0">
      <selection activeCell="Q29" sqref="Q29"/>
    </sheetView>
  </sheetViews>
  <sheetFormatPr defaultRowHeight="14.5" x14ac:dyDescent="0.35"/>
  <cols>
    <col min="1" max="1" width="5.08984375" customWidth="1"/>
    <col min="2" max="2" width="10.36328125" bestFit="1" customWidth="1"/>
    <col min="3" max="3" width="10.453125" bestFit="1" customWidth="1"/>
    <col min="4" max="4" width="10.81640625" bestFit="1" customWidth="1"/>
    <col min="5" max="5" width="20.1796875" bestFit="1" customWidth="1"/>
    <col min="6" max="6" width="9.90625" bestFit="1" customWidth="1"/>
    <col min="7" max="7" width="11" bestFit="1" customWidth="1"/>
    <col min="8" max="8" width="9.26953125" bestFit="1" customWidth="1"/>
    <col min="9" max="9" width="9.7265625" bestFit="1" customWidth="1"/>
    <col min="10" max="10" width="8.81640625" bestFit="1" customWidth="1"/>
    <col min="12" max="12" width="32.26953125" customWidth="1"/>
    <col min="13" max="13" width="12" bestFit="1" customWidth="1"/>
    <col min="17" max="17" width="11.453125" bestFit="1" customWidth="1"/>
    <col min="18" max="18" width="14" bestFit="1" customWidth="1"/>
    <col min="20" max="20" width="12.90625" bestFit="1" customWidth="1"/>
    <col min="21" max="21" width="14.26953125" bestFit="1" customWidth="1"/>
  </cols>
  <sheetData>
    <row r="1" spans="1:21" x14ac:dyDescent="0.35">
      <c r="A1" t="s">
        <v>0</v>
      </c>
      <c r="B1" t="s">
        <v>1</v>
      </c>
      <c r="C1" t="s">
        <v>2</v>
      </c>
      <c r="D1" t="s">
        <v>3</v>
      </c>
      <c r="E1" t="s">
        <v>4</v>
      </c>
      <c r="F1" t="s">
        <v>5</v>
      </c>
      <c r="G1" t="s">
        <v>6</v>
      </c>
      <c r="H1" t="s">
        <v>7</v>
      </c>
      <c r="I1" t="s">
        <v>8</v>
      </c>
      <c r="J1" t="s">
        <v>9</v>
      </c>
    </row>
    <row r="2" spans="1:21" x14ac:dyDescent="0.35">
      <c r="A2">
        <v>101</v>
      </c>
      <c r="B2" s="1" t="s">
        <v>397</v>
      </c>
      <c r="C2" s="2">
        <v>46090</v>
      </c>
      <c r="D2" s="1" t="s">
        <v>13</v>
      </c>
      <c r="E2" s="1" t="s">
        <v>172</v>
      </c>
      <c r="F2">
        <v>3232</v>
      </c>
      <c r="G2" s="1" t="s">
        <v>398</v>
      </c>
      <c r="H2" s="1" t="s">
        <v>73</v>
      </c>
      <c r="I2" s="1" t="s">
        <v>18</v>
      </c>
      <c r="J2" s="1" t="s">
        <v>136</v>
      </c>
    </row>
    <row r="3" spans="1:21" x14ac:dyDescent="0.35">
      <c r="A3">
        <v>102</v>
      </c>
      <c r="B3" s="1" t="s">
        <v>21</v>
      </c>
      <c r="C3" s="2">
        <v>46088</v>
      </c>
      <c r="D3" s="1" t="s">
        <v>399</v>
      </c>
      <c r="E3" s="1" t="s">
        <v>78</v>
      </c>
      <c r="F3">
        <v>1241</v>
      </c>
      <c r="G3" s="1" t="s">
        <v>26</v>
      </c>
      <c r="H3" s="1" t="s">
        <v>73</v>
      </c>
      <c r="I3" s="1" t="s">
        <v>3</v>
      </c>
      <c r="J3" s="1" t="s">
        <v>136</v>
      </c>
      <c r="L3" s="5" t="s">
        <v>468</v>
      </c>
    </row>
    <row r="4" spans="1:21" x14ac:dyDescent="0.35">
      <c r="A4">
        <v>103</v>
      </c>
      <c r="B4" s="1" t="s">
        <v>400</v>
      </c>
      <c r="C4" s="2">
        <v>46091</v>
      </c>
      <c r="D4" s="1" t="s">
        <v>32</v>
      </c>
      <c r="E4" s="1" t="s">
        <v>401</v>
      </c>
      <c r="F4">
        <v>2877</v>
      </c>
      <c r="G4" s="1" t="s">
        <v>35</v>
      </c>
      <c r="H4" s="1" t="s">
        <v>73</v>
      </c>
      <c r="I4" s="1" t="s">
        <v>98</v>
      </c>
      <c r="J4" s="1" t="s">
        <v>37</v>
      </c>
      <c r="L4" t="s">
        <v>473</v>
      </c>
      <c r="M4" t="s">
        <v>474</v>
      </c>
    </row>
    <row r="5" spans="1:21" x14ac:dyDescent="0.35">
      <c r="A5">
        <v>104</v>
      </c>
      <c r="B5" s="1" t="s">
        <v>402</v>
      </c>
      <c r="C5" s="2">
        <v>46093</v>
      </c>
      <c r="D5" s="1" t="s">
        <v>41</v>
      </c>
      <c r="E5" s="1" t="s">
        <v>221</v>
      </c>
      <c r="F5">
        <v>4578</v>
      </c>
      <c r="G5" s="1" t="s">
        <v>35</v>
      </c>
      <c r="H5" s="1" t="s">
        <v>73</v>
      </c>
      <c r="I5" s="1" t="s">
        <v>74</v>
      </c>
      <c r="J5" s="1" t="s">
        <v>37</v>
      </c>
      <c r="L5" t="s">
        <v>475</v>
      </c>
      <c r="M5">
        <v>99581</v>
      </c>
    </row>
    <row r="6" spans="1:21" x14ac:dyDescent="0.35">
      <c r="A6">
        <v>105</v>
      </c>
      <c r="B6" s="1" t="s">
        <v>403</v>
      </c>
      <c r="C6" s="2">
        <v>46095</v>
      </c>
      <c r="D6" s="1" t="s">
        <v>404</v>
      </c>
      <c r="E6" s="1" t="s">
        <v>50</v>
      </c>
      <c r="F6">
        <v>3755</v>
      </c>
      <c r="G6" s="1" t="s">
        <v>52</v>
      </c>
      <c r="H6" s="1" t="s">
        <v>53</v>
      </c>
      <c r="I6" s="1" t="s">
        <v>18</v>
      </c>
      <c r="J6" s="1" t="s">
        <v>37</v>
      </c>
      <c r="L6" t="s">
        <v>477</v>
      </c>
      <c r="M6">
        <f>SUM(Table2_1[Amount])</f>
        <v>346622</v>
      </c>
      <c r="Q6" s="3" t="s">
        <v>469</v>
      </c>
      <c r="R6" t="s">
        <v>471</v>
      </c>
      <c r="T6" s="3" t="s">
        <v>469</v>
      </c>
      <c r="U6" t="s">
        <v>471</v>
      </c>
    </row>
    <row r="7" spans="1:21" x14ac:dyDescent="0.35">
      <c r="A7">
        <v>106</v>
      </c>
      <c r="B7" s="1" t="s">
        <v>21</v>
      </c>
      <c r="C7" s="2">
        <v>46089</v>
      </c>
      <c r="D7" s="1" t="s">
        <v>56</v>
      </c>
      <c r="E7" s="1" t="s">
        <v>78</v>
      </c>
      <c r="F7">
        <v>4190</v>
      </c>
      <c r="G7" s="1" t="s">
        <v>405</v>
      </c>
      <c r="H7" s="1" t="s">
        <v>53</v>
      </c>
      <c r="I7" s="1" t="s">
        <v>98</v>
      </c>
      <c r="J7" s="1" t="s">
        <v>136</v>
      </c>
      <c r="Q7" s="4" t="s">
        <v>53</v>
      </c>
      <c r="R7" s="1">
        <v>182194</v>
      </c>
      <c r="T7" s="4" t="s">
        <v>26</v>
      </c>
      <c r="U7" s="1">
        <v>28757</v>
      </c>
    </row>
    <row r="8" spans="1:21" x14ac:dyDescent="0.35">
      <c r="A8">
        <v>107</v>
      </c>
      <c r="B8" s="1" t="s">
        <v>397</v>
      </c>
      <c r="C8" s="2">
        <v>46088</v>
      </c>
      <c r="D8" s="1" t="s">
        <v>406</v>
      </c>
      <c r="E8" s="1" t="s">
        <v>172</v>
      </c>
      <c r="F8">
        <v>2058</v>
      </c>
      <c r="G8" s="1" t="s">
        <v>407</v>
      </c>
      <c r="H8" s="1" t="s">
        <v>73</v>
      </c>
      <c r="I8" s="1" t="s">
        <v>3</v>
      </c>
      <c r="J8" s="1" t="s">
        <v>136</v>
      </c>
      <c r="Q8" s="4" t="s">
        <v>73</v>
      </c>
      <c r="R8" s="1">
        <v>164428</v>
      </c>
      <c r="T8" s="4" t="s">
        <v>52</v>
      </c>
      <c r="U8" s="1">
        <v>30716</v>
      </c>
    </row>
    <row r="9" spans="1:21" x14ac:dyDescent="0.35">
      <c r="A9">
        <v>108</v>
      </c>
      <c r="B9" s="1" t="s">
        <v>400</v>
      </c>
      <c r="C9" s="2">
        <v>46091</v>
      </c>
      <c r="D9" s="1" t="s">
        <v>408</v>
      </c>
      <c r="E9" s="1" t="s">
        <v>401</v>
      </c>
      <c r="F9">
        <v>4970</v>
      </c>
      <c r="G9" s="1" t="s">
        <v>35</v>
      </c>
      <c r="H9" s="1" t="s">
        <v>73</v>
      </c>
      <c r="I9" s="1" t="s">
        <v>74</v>
      </c>
      <c r="J9" s="1" t="s">
        <v>37</v>
      </c>
      <c r="Q9" s="4" t="s">
        <v>470</v>
      </c>
      <c r="R9" s="1">
        <v>346622</v>
      </c>
      <c r="T9" s="4" t="s">
        <v>424</v>
      </c>
      <c r="U9" s="1">
        <v>31309</v>
      </c>
    </row>
    <row r="10" spans="1:21" x14ac:dyDescent="0.35">
      <c r="A10">
        <v>109</v>
      </c>
      <c r="B10" s="1" t="s">
        <v>21</v>
      </c>
      <c r="C10" s="2">
        <v>46092</v>
      </c>
      <c r="D10" s="1" t="s">
        <v>409</v>
      </c>
      <c r="E10" s="1" t="s">
        <v>78</v>
      </c>
      <c r="F10">
        <v>4108</v>
      </c>
      <c r="G10" s="1" t="s">
        <v>407</v>
      </c>
      <c r="H10" s="1" t="s">
        <v>53</v>
      </c>
      <c r="I10" s="1" t="s">
        <v>74</v>
      </c>
      <c r="J10" s="1" t="s">
        <v>136</v>
      </c>
      <c r="T10" s="4" t="s">
        <v>35</v>
      </c>
      <c r="U10" s="1">
        <v>51059</v>
      </c>
    </row>
    <row r="11" spans="1:21" x14ac:dyDescent="0.35">
      <c r="A11">
        <v>110</v>
      </c>
      <c r="B11" s="1" t="s">
        <v>82</v>
      </c>
      <c r="C11" s="2">
        <v>46091</v>
      </c>
      <c r="D11" s="1" t="s">
        <v>83</v>
      </c>
      <c r="E11" s="1" t="s">
        <v>292</v>
      </c>
      <c r="F11">
        <v>2697</v>
      </c>
      <c r="G11" s="1" t="s">
        <v>86</v>
      </c>
      <c r="H11" s="1" t="s">
        <v>73</v>
      </c>
      <c r="I11" s="1" t="s">
        <v>3</v>
      </c>
      <c r="J11" s="1" t="s">
        <v>136</v>
      </c>
      <c r="T11" s="4" t="s">
        <v>413</v>
      </c>
      <c r="U11" s="1">
        <v>34168</v>
      </c>
    </row>
    <row r="12" spans="1:21" x14ac:dyDescent="0.35">
      <c r="A12">
        <v>111</v>
      </c>
      <c r="B12" s="1" t="s">
        <v>403</v>
      </c>
      <c r="C12" s="2">
        <v>46089</v>
      </c>
      <c r="D12" s="1" t="s">
        <v>410</v>
      </c>
      <c r="E12" s="1" t="s">
        <v>50</v>
      </c>
      <c r="F12">
        <v>2226</v>
      </c>
      <c r="G12" s="1" t="s">
        <v>35</v>
      </c>
      <c r="H12" s="1" t="s">
        <v>73</v>
      </c>
      <c r="I12" s="1" t="s">
        <v>18</v>
      </c>
      <c r="J12" s="1" t="s">
        <v>136</v>
      </c>
      <c r="L12" s="3" t="s">
        <v>469</v>
      </c>
      <c r="M12" t="s">
        <v>476</v>
      </c>
      <c r="Q12" s="3" t="s">
        <v>472</v>
      </c>
      <c r="R12" t="s">
        <v>471</v>
      </c>
      <c r="T12" s="4" t="s">
        <v>114</v>
      </c>
      <c r="U12" s="1">
        <v>21605</v>
      </c>
    </row>
    <row r="13" spans="1:21" x14ac:dyDescent="0.35">
      <c r="A13">
        <v>112</v>
      </c>
      <c r="B13" s="1" t="s">
        <v>411</v>
      </c>
      <c r="C13" s="2">
        <v>46097</v>
      </c>
      <c r="D13" s="1" t="s">
        <v>412</v>
      </c>
      <c r="E13" s="1" t="s">
        <v>168</v>
      </c>
      <c r="F13">
        <v>2141</v>
      </c>
      <c r="G13" s="1" t="s">
        <v>413</v>
      </c>
      <c r="H13" s="1" t="s">
        <v>73</v>
      </c>
      <c r="I13" s="1" t="s">
        <v>98</v>
      </c>
      <c r="J13" s="1" t="s">
        <v>136</v>
      </c>
      <c r="L13" s="4" t="s">
        <v>53</v>
      </c>
      <c r="M13" s="1">
        <v>53</v>
      </c>
      <c r="Q13" s="4" t="s">
        <v>74</v>
      </c>
      <c r="R13" s="1">
        <v>8157</v>
      </c>
      <c r="T13" s="4" t="s">
        <v>398</v>
      </c>
      <c r="U13" s="1">
        <v>21089</v>
      </c>
    </row>
    <row r="14" spans="1:21" x14ac:dyDescent="0.35">
      <c r="A14">
        <v>113</v>
      </c>
      <c r="B14" s="1" t="s">
        <v>21</v>
      </c>
      <c r="C14" s="2">
        <v>46097</v>
      </c>
      <c r="D14" s="1" t="s">
        <v>100</v>
      </c>
      <c r="E14" s="1" t="s">
        <v>78</v>
      </c>
      <c r="F14">
        <v>4944</v>
      </c>
      <c r="G14" s="1" t="s">
        <v>407</v>
      </c>
      <c r="H14" s="1" t="s">
        <v>73</v>
      </c>
      <c r="I14" s="1" t="s">
        <v>98</v>
      </c>
      <c r="J14" s="1" t="s">
        <v>37</v>
      </c>
      <c r="L14" s="4" t="s">
        <v>73</v>
      </c>
      <c r="M14" s="1">
        <v>47</v>
      </c>
      <c r="Q14" s="4" t="s">
        <v>98</v>
      </c>
      <c r="R14" s="1">
        <v>2141</v>
      </c>
      <c r="T14" s="4" t="s">
        <v>86</v>
      </c>
      <c r="U14" s="1">
        <v>47578</v>
      </c>
    </row>
    <row r="15" spans="1:21" x14ac:dyDescent="0.35">
      <c r="A15">
        <v>114</v>
      </c>
      <c r="B15" s="1" t="s">
        <v>414</v>
      </c>
      <c r="C15" s="2">
        <v>46095</v>
      </c>
      <c r="D15" s="1" t="s">
        <v>104</v>
      </c>
      <c r="E15" s="1" t="s">
        <v>105</v>
      </c>
      <c r="F15">
        <v>5223</v>
      </c>
      <c r="G15" s="1" t="s">
        <v>407</v>
      </c>
      <c r="H15" s="1" t="s">
        <v>73</v>
      </c>
      <c r="I15" s="1" t="s">
        <v>74</v>
      </c>
      <c r="J15" s="1" t="s">
        <v>136</v>
      </c>
      <c r="L15" s="4" t="s">
        <v>470</v>
      </c>
      <c r="M15" s="1">
        <v>100</v>
      </c>
      <c r="Q15" s="4" t="s">
        <v>3</v>
      </c>
      <c r="R15" s="1">
        <v>18496</v>
      </c>
      <c r="T15" s="4" t="s">
        <v>405</v>
      </c>
      <c r="U15" s="1">
        <v>26051</v>
      </c>
    </row>
    <row r="16" spans="1:21" x14ac:dyDescent="0.35">
      <c r="A16">
        <v>115</v>
      </c>
      <c r="B16" s="1" t="s">
        <v>21</v>
      </c>
      <c r="C16" s="2">
        <v>46088</v>
      </c>
      <c r="D16" s="1" t="s">
        <v>415</v>
      </c>
      <c r="E16" s="1" t="s">
        <v>78</v>
      </c>
      <c r="F16">
        <v>5566</v>
      </c>
      <c r="G16" s="1" t="s">
        <v>407</v>
      </c>
      <c r="H16" s="1" t="s">
        <v>73</v>
      </c>
      <c r="I16" s="1" t="s">
        <v>3</v>
      </c>
      <c r="J16" s="1" t="s">
        <v>37</v>
      </c>
      <c r="Q16" s="4" t="s">
        <v>18</v>
      </c>
      <c r="R16" s="1">
        <v>5374</v>
      </c>
      <c r="T16" s="4" t="s">
        <v>407</v>
      </c>
      <c r="U16" s="1">
        <v>54290</v>
      </c>
    </row>
    <row r="17" spans="1:21" x14ac:dyDescent="0.35">
      <c r="A17">
        <v>116</v>
      </c>
      <c r="B17" s="1" t="s">
        <v>397</v>
      </c>
      <c r="C17" s="2">
        <v>46092</v>
      </c>
      <c r="D17" s="1" t="s">
        <v>416</v>
      </c>
      <c r="E17" s="1" t="s">
        <v>172</v>
      </c>
      <c r="F17">
        <v>2080</v>
      </c>
      <c r="G17" s="1" t="s">
        <v>114</v>
      </c>
      <c r="H17" s="1" t="s">
        <v>73</v>
      </c>
      <c r="I17" s="1" t="s">
        <v>98</v>
      </c>
      <c r="J17" s="1" t="s">
        <v>136</v>
      </c>
      <c r="Q17" s="4" t="s">
        <v>470</v>
      </c>
      <c r="R17" s="1">
        <v>34168</v>
      </c>
      <c r="T17" s="4" t="s">
        <v>470</v>
      </c>
      <c r="U17" s="1">
        <v>346622</v>
      </c>
    </row>
    <row r="18" spans="1:21" x14ac:dyDescent="0.35">
      <c r="A18">
        <v>117</v>
      </c>
      <c r="B18" s="1" t="s">
        <v>403</v>
      </c>
      <c r="C18" s="2">
        <v>46090</v>
      </c>
      <c r="D18" s="1" t="s">
        <v>417</v>
      </c>
      <c r="E18" s="1" t="s">
        <v>50</v>
      </c>
      <c r="F18">
        <v>3548</v>
      </c>
      <c r="G18" s="1" t="s">
        <v>52</v>
      </c>
      <c r="H18" s="1" t="s">
        <v>53</v>
      </c>
      <c r="I18" s="1" t="s">
        <v>98</v>
      </c>
      <c r="J18" s="1" t="s">
        <v>37</v>
      </c>
    </row>
    <row r="19" spans="1:21" x14ac:dyDescent="0.35">
      <c r="A19">
        <v>118</v>
      </c>
      <c r="B19" s="1" t="s">
        <v>397</v>
      </c>
      <c r="C19" s="2">
        <v>46094</v>
      </c>
      <c r="D19" s="1" t="s">
        <v>418</v>
      </c>
      <c r="E19" s="1" t="s">
        <v>172</v>
      </c>
      <c r="F19">
        <v>2991</v>
      </c>
      <c r="G19" s="1" t="s">
        <v>413</v>
      </c>
      <c r="H19" s="1" t="s">
        <v>73</v>
      </c>
      <c r="I19" s="1" t="s">
        <v>74</v>
      </c>
      <c r="J19" s="1" t="s">
        <v>136</v>
      </c>
    </row>
    <row r="20" spans="1:21" x14ac:dyDescent="0.35">
      <c r="A20">
        <v>119</v>
      </c>
      <c r="B20" s="1" t="s">
        <v>397</v>
      </c>
      <c r="C20" s="2">
        <v>46093</v>
      </c>
      <c r="D20" s="1" t="s">
        <v>123</v>
      </c>
      <c r="E20" s="1" t="s">
        <v>172</v>
      </c>
      <c r="F20">
        <v>3238</v>
      </c>
      <c r="G20" s="1" t="s">
        <v>35</v>
      </c>
      <c r="H20" s="1" t="s">
        <v>53</v>
      </c>
      <c r="I20" s="1" t="s">
        <v>18</v>
      </c>
      <c r="J20" s="1" t="s">
        <v>37</v>
      </c>
    </row>
    <row r="21" spans="1:21" x14ac:dyDescent="0.35">
      <c r="A21">
        <v>120</v>
      </c>
      <c r="B21" s="1" t="s">
        <v>21</v>
      </c>
      <c r="C21" s="2">
        <v>46089</v>
      </c>
      <c r="D21" s="1" t="s">
        <v>127</v>
      </c>
      <c r="E21" s="1" t="s">
        <v>78</v>
      </c>
      <c r="F21">
        <v>5291</v>
      </c>
      <c r="G21" s="1" t="s">
        <v>407</v>
      </c>
      <c r="H21" s="1" t="s">
        <v>53</v>
      </c>
      <c r="I21" s="1" t="s">
        <v>74</v>
      </c>
      <c r="J21" s="1" t="s">
        <v>37</v>
      </c>
    </row>
    <row r="22" spans="1:21" x14ac:dyDescent="0.35">
      <c r="A22">
        <v>121</v>
      </c>
      <c r="B22" s="1" t="s">
        <v>403</v>
      </c>
      <c r="C22" s="2">
        <v>46092</v>
      </c>
      <c r="D22" s="1" t="s">
        <v>419</v>
      </c>
      <c r="E22" s="1" t="s">
        <v>50</v>
      </c>
      <c r="F22">
        <v>4925</v>
      </c>
      <c r="G22" s="1" t="s">
        <v>86</v>
      </c>
      <c r="H22" s="1" t="s">
        <v>73</v>
      </c>
      <c r="I22" s="1" t="s">
        <v>18</v>
      </c>
      <c r="J22" s="1" t="s">
        <v>136</v>
      </c>
    </row>
    <row r="23" spans="1:21" x14ac:dyDescent="0.35">
      <c r="A23">
        <v>122</v>
      </c>
      <c r="B23" s="1" t="s">
        <v>414</v>
      </c>
      <c r="C23" s="2">
        <v>46091</v>
      </c>
      <c r="D23" s="1" t="s">
        <v>420</v>
      </c>
      <c r="E23" s="1" t="s">
        <v>105</v>
      </c>
      <c r="F23">
        <v>5627</v>
      </c>
      <c r="G23" s="1" t="s">
        <v>407</v>
      </c>
      <c r="H23" s="1" t="s">
        <v>53</v>
      </c>
      <c r="I23" s="1" t="s">
        <v>98</v>
      </c>
      <c r="J23" s="1" t="s">
        <v>136</v>
      </c>
    </row>
    <row r="24" spans="1:21" x14ac:dyDescent="0.35">
      <c r="A24">
        <v>123</v>
      </c>
      <c r="B24" s="1" t="s">
        <v>138</v>
      </c>
      <c r="C24" s="2">
        <v>46095</v>
      </c>
      <c r="D24" s="1" t="s">
        <v>139</v>
      </c>
      <c r="E24" s="1" t="s">
        <v>140</v>
      </c>
      <c r="F24">
        <v>2836</v>
      </c>
      <c r="G24" s="1" t="s">
        <v>26</v>
      </c>
      <c r="H24" s="1" t="s">
        <v>73</v>
      </c>
      <c r="I24" s="1" t="s">
        <v>3</v>
      </c>
      <c r="J24" s="1" t="s">
        <v>136</v>
      </c>
    </row>
    <row r="25" spans="1:21" x14ac:dyDescent="0.35">
      <c r="A25">
        <v>124</v>
      </c>
      <c r="B25" s="1" t="s">
        <v>421</v>
      </c>
      <c r="C25" s="2">
        <v>46091</v>
      </c>
      <c r="D25" s="1" t="s">
        <v>144</v>
      </c>
      <c r="E25" s="1" t="s">
        <v>145</v>
      </c>
      <c r="F25">
        <v>3540</v>
      </c>
      <c r="G25" s="1" t="s">
        <v>35</v>
      </c>
      <c r="H25" s="1" t="s">
        <v>73</v>
      </c>
      <c r="I25" s="1" t="s">
        <v>3</v>
      </c>
      <c r="J25" s="1" t="s">
        <v>136</v>
      </c>
    </row>
    <row r="26" spans="1:21" x14ac:dyDescent="0.35">
      <c r="A26">
        <v>125</v>
      </c>
      <c r="B26" s="1" t="s">
        <v>411</v>
      </c>
      <c r="C26" s="2">
        <v>46092</v>
      </c>
      <c r="D26" s="1" t="s">
        <v>422</v>
      </c>
      <c r="E26" s="1" t="s">
        <v>168</v>
      </c>
      <c r="F26">
        <v>4899</v>
      </c>
      <c r="G26" s="1" t="s">
        <v>86</v>
      </c>
      <c r="H26" s="1" t="s">
        <v>53</v>
      </c>
      <c r="I26" s="1" t="s">
        <v>74</v>
      </c>
      <c r="J26" s="1" t="s">
        <v>136</v>
      </c>
    </row>
    <row r="27" spans="1:21" x14ac:dyDescent="0.35">
      <c r="A27">
        <v>126</v>
      </c>
      <c r="B27" s="1" t="s">
        <v>400</v>
      </c>
      <c r="C27" s="2">
        <v>46092</v>
      </c>
      <c r="D27" s="1" t="s">
        <v>423</v>
      </c>
      <c r="E27" s="1" t="s">
        <v>401</v>
      </c>
      <c r="F27">
        <v>1311</v>
      </c>
      <c r="G27" s="1" t="s">
        <v>35</v>
      </c>
      <c r="H27" s="1" t="s">
        <v>73</v>
      </c>
      <c r="I27" s="1" t="s">
        <v>3</v>
      </c>
      <c r="J27" s="1" t="s">
        <v>136</v>
      </c>
    </row>
    <row r="28" spans="1:21" x14ac:dyDescent="0.35">
      <c r="A28">
        <v>127</v>
      </c>
      <c r="B28" s="1" t="s">
        <v>421</v>
      </c>
      <c r="C28" s="2">
        <v>46093</v>
      </c>
      <c r="D28" s="1" t="s">
        <v>155</v>
      </c>
      <c r="E28" s="1" t="s">
        <v>145</v>
      </c>
      <c r="F28">
        <v>4303</v>
      </c>
      <c r="G28" s="1" t="s">
        <v>424</v>
      </c>
      <c r="H28" s="1" t="s">
        <v>53</v>
      </c>
      <c r="I28" s="1" t="s">
        <v>3</v>
      </c>
      <c r="J28" s="1" t="s">
        <v>136</v>
      </c>
    </row>
    <row r="29" spans="1:21" x14ac:dyDescent="0.35">
      <c r="A29">
        <v>128</v>
      </c>
      <c r="B29" s="1" t="s">
        <v>403</v>
      </c>
      <c r="C29" s="2">
        <v>46096</v>
      </c>
      <c r="D29" s="1" t="s">
        <v>425</v>
      </c>
      <c r="E29" s="1" t="s">
        <v>50</v>
      </c>
      <c r="F29">
        <v>4510</v>
      </c>
      <c r="G29" s="1" t="s">
        <v>398</v>
      </c>
      <c r="H29" s="1" t="s">
        <v>73</v>
      </c>
      <c r="I29" s="1" t="s">
        <v>18</v>
      </c>
      <c r="J29" s="1" t="s">
        <v>136</v>
      </c>
    </row>
    <row r="30" spans="1:21" x14ac:dyDescent="0.35">
      <c r="A30">
        <v>129</v>
      </c>
      <c r="B30" s="1" t="s">
        <v>21</v>
      </c>
      <c r="C30" s="2">
        <v>46092</v>
      </c>
      <c r="D30" s="1" t="s">
        <v>426</v>
      </c>
      <c r="E30" s="1" t="s">
        <v>78</v>
      </c>
      <c r="F30">
        <v>1605</v>
      </c>
      <c r="G30" s="1" t="s">
        <v>35</v>
      </c>
      <c r="H30" s="1" t="s">
        <v>53</v>
      </c>
      <c r="I30" s="1" t="s">
        <v>18</v>
      </c>
      <c r="J30" s="1" t="s">
        <v>37</v>
      </c>
    </row>
    <row r="31" spans="1:21" x14ac:dyDescent="0.35">
      <c r="A31">
        <v>130</v>
      </c>
      <c r="B31" s="1" t="s">
        <v>411</v>
      </c>
      <c r="C31" s="2">
        <v>46097</v>
      </c>
      <c r="D31" s="1" t="s">
        <v>167</v>
      </c>
      <c r="E31" s="1" t="s">
        <v>168</v>
      </c>
      <c r="F31">
        <v>4456</v>
      </c>
      <c r="G31" s="1" t="s">
        <v>86</v>
      </c>
      <c r="H31" s="1" t="s">
        <v>53</v>
      </c>
      <c r="I31" s="1" t="s">
        <v>74</v>
      </c>
      <c r="J31" s="1" t="s">
        <v>136</v>
      </c>
    </row>
    <row r="32" spans="1:21" x14ac:dyDescent="0.35">
      <c r="A32">
        <v>131</v>
      </c>
      <c r="B32" s="1" t="s">
        <v>397</v>
      </c>
      <c r="C32" s="2">
        <v>46088</v>
      </c>
      <c r="D32" s="1" t="s">
        <v>427</v>
      </c>
      <c r="E32" s="1" t="s">
        <v>172</v>
      </c>
      <c r="F32">
        <v>3139</v>
      </c>
      <c r="G32" s="1" t="s">
        <v>35</v>
      </c>
      <c r="H32" s="1" t="s">
        <v>53</v>
      </c>
      <c r="I32" s="1" t="s">
        <v>98</v>
      </c>
      <c r="J32" s="1" t="s">
        <v>37</v>
      </c>
    </row>
    <row r="33" spans="1:10" x14ac:dyDescent="0.35">
      <c r="A33">
        <v>132</v>
      </c>
      <c r="B33" s="1" t="s">
        <v>403</v>
      </c>
      <c r="C33" s="2">
        <v>46091</v>
      </c>
      <c r="D33" s="1" t="s">
        <v>428</v>
      </c>
      <c r="E33" s="1" t="s">
        <v>50</v>
      </c>
      <c r="F33">
        <v>2125</v>
      </c>
      <c r="G33" s="1" t="s">
        <v>405</v>
      </c>
      <c r="H33" s="1" t="s">
        <v>53</v>
      </c>
      <c r="I33" s="1" t="s">
        <v>74</v>
      </c>
      <c r="J33" s="1" t="s">
        <v>136</v>
      </c>
    </row>
    <row r="34" spans="1:10" x14ac:dyDescent="0.35">
      <c r="A34">
        <v>133</v>
      </c>
      <c r="B34" s="1" t="s">
        <v>402</v>
      </c>
      <c r="C34" s="2">
        <v>46093</v>
      </c>
      <c r="D34" s="1" t="s">
        <v>429</v>
      </c>
      <c r="E34" s="1" t="s">
        <v>221</v>
      </c>
      <c r="F34">
        <v>5414</v>
      </c>
      <c r="G34" s="1" t="s">
        <v>424</v>
      </c>
      <c r="H34" s="1" t="s">
        <v>53</v>
      </c>
      <c r="I34" s="1" t="s">
        <v>98</v>
      </c>
      <c r="J34" s="1" t="s">
        <v>136</v>
      </c>
    </row>
    <row r="35" spans="1:10" x14ac:dyDescent="0.35">
      <c r="A35">
        <v>134</v>
      </c>
      <c r="B35" s="1" t="s">
        <v>21</v>
      </c>
      <c r="C35" s="2">
        <v>46095</v>
      </c>
      <c r="D35" s="1" t="s">
        <v>430</v>
      </c>
      <c r="E35" s="1" t="s">
        <v>78</v>
      </c>
      <c r="F35">
        <v>3078</v>
      </c>
      <c r="G35" s="1" t="s">
        <v>86</v>
      </c>
      <c r="H35" s="1" t="s">
        <v>53</v>
      </c>
      <c r="I35" s="1" t="s">
        <v>3</v>
      </c>
      <c r="J35" s="1" t="s">
        <v>136</v>
      </c>
    </row>
    <row r="36" spans="1:10" x14ac:dyDescent="0.35">
      <c r="A36">
        <v>135</v>
      </c>
      <c r="B36" s="1" t="s">
        <v>421</v>
      </c>
      <c r="C36" s="2">
        <v>46088</v>
      </c>
      <c r="D36" s="1" t="s">
        <v>185</v>
      </c>
      <c r="E36" s="1" t="s">
        <v>145</v>
      </c>
      <c r="F36">
        <v>3180</v>
      </c>
      <c r="G36" s="1" t="s">
        <v>424</v>
      </c>
      <c r="H36" s="1" t="s">
        <v>53</v>
      </c>
      <c r="I36" s="1" t="s">
        <v>18</v>
      </c>
      <c r="J36" s="1" t="s">
        <v>136</v>
      </c>
    </row>
    <row r="37" spans="1:10" x14ac:dyDescent="0.35">
      <c r="A37">
        <v>136</v>
      </c>
      <c r="B37" s="1" t="s">
        <v>82</v>
      </c>
      <c r="C37" s="2">
        <v>46095</v>
      </c>
      <c r="D37" s="1" t="s">
        <v>188</v>
      </c>
      <c r="E37" s="1" t="s">
        <v>292</v>
      </c>
      <c r="F37">
        <v>1284</v>
      </c>
      <c r="G37" s="1" t="s">
        <v>35</v>
      </c>
      <c r="H37" s="1" t="s">
        <v>73</v>
      </c>
      <c r="I37" s="1" t="s">
        <v>98</v>
      </c>
      <c r="J37" s="1" t="s">
        <v>37</v>
      </c>
    </row>
    <row r="38" spans="1:10" x14ac:dyDescent="0.35">
      <c r="A38">
        <v>137</v>
      </c>
      <c r="B38" s="1" t="s">
        <v>421</v>
      </c>
      <c r="C38" s="2">
        <v>46092</v>
      </c>
      <c r="D38" s="1" t="s">
        <v>192</v>
      </c>
      <c r="E38" s="1" t="s">
        <v>145</v>
      </c>
      <c r="F38">
        <v>4441</v>
      </c>
      <c r="G38" s="1" t="s">
        <v>405</v>
      </c>
      <c r="H38" s="1" t="s">
        <v>53</v>
      </c>
      <c r="I38" s="1" t="s">
        <v>98</v>
      </c>
      <c r="J38" s="1" t="s">
        <v>136</v>
      </c>
    </row>
    <row r="39" spans="1:10" x14ac:dyDescent="0.35">
      <c r="A39">
        <v>138</v>
      </c>
      <c r="B39" s="1" t="s">
        <v>411</v>
      </c>
      <c r="C39" s="2">
        <v>46095</v>
      </c>
      <c r="D39" s="1" t="s">
        <v>196</v>
      </c>
      <c r="E39" s="1" t="s">
        <v>168</v>
      </c>
      <c r="F39">
        <v>3970</v>
      </c>
      <c r="G39" s="1" t="s">
        <v>35</v>
      </c>
      <c r="H39" s="1" t="s">
        <v>73</v>
      </c>
      <c r="I39" s="1" t="s">
        <v>74</v>
      </c>
      <c r="J39" s="1" t="s">
        <v>37</v>
      </c>
    </row>
    <row r="40" spans="1:10" x14ac:dyDescent="0.35">
      <c r="A40">
        <v>139</v>
      </c>
      <c r="B40" s="1" t="s">
        <v>403</v>
      </c>
      <c r="C40" s="2">
        <v>46095</v>
      </c>
      <c r="D40" s="1" t="s">
        <v>431</v>
      </c>
      <c r="E40" s="1" t="s">
        <v>50</v>
      </c>
      <c r="F40">
        <v>3073</v>
      </c>
      <c r="G40" s="1" t="s">
        <v>424</v>
      </c>
      <c r="H40" s="1" t="s">
        <v>73</v>
      </c>
      <c r="I40" s="1" t="s">
        <v>3</v>
      </c>
      <c r="J40" s="1" t="s">
        <v>136</v>
      </c>
    </row>
    <row r="41" spans="1:10" x14ac:dyDescent="0.35">
      <c r="A41">
        <v>140</v>
      </c>
      <c r="B41" s="1" t="s">
        <v>138</v>
      </c>
      <c r="C41" s="2">
        <v>46097</v>
      </c>
      <c r="D41" s="1" t="s">
        <v>203</v>
      </c>
      <c r="E41" s="1" t="s">
        <v>140</v>
      </c>
      <c r="F41">
        <v>4641</v>
      </c>
      <c r="G41" s="1" t="s">
        <v>86</v>
      </c>
      <c r="H41" s="1" t="s">
        <v>53</v>
      </c>
      <c r="I41" s="1" t="s">
        <v>3</v>
      </c>
      <c r="J41" s="1" t="s">
        <v>136</v>
      </c>
    </row>
    <row r="42" spans="1:10" x14ac:dyDescent="0.35">
      <c r="A42">
        <v>141</v>
      </c>
      <c r="B42" s="1" t="s">
        <v>138</v>
      </c>
      <c r="C42" s="2">
        <v>46089</v>
      </c>
      <c r="D42" s="1" t="s">
        <v>432</v>
      </c>
      <c r="E42" s="1" t="s">
        <v>140</v>
      </c>
      <c r="F42">
        <v>5876</v>
      </c>
      <c r="G42" s="1" t="s">
        <v>52</v>
      </c>
      <c r="H42" s="1" t="s">
        <v>73</v>
      </c>
      <c r="I42" s="1" t="s">
        <v>18</v>
      </c>
      <c r="J42" s="1" t="s">
        <v>37</v>
      </c>
    </row>
    <row r="43" spans="1:10" x14ac:dyDescent="0.35">
      <c r="A43">
        <v>142</v>
      </c>
      <c r="B43" s="1" t="s">
        <v>403</v>
      </c>
      <c r="C43" s="2">
        <v>46095</v>
      </c>
      <c r="D43" s="1" t="s">
        <v>211</v>
      </c>
      <c r="E43" s="1" t="s">
        <v>50</v>
      </c>
      <c r="F43">
        <v>1628</v>
      </c>
      <c r="G43" s="1" t="s">
        <v>398</v>
      </c>
      <c r="H43" s="1" t="s">
        <v>53</v>
      </c>
      <c r="I43" s="1" t="s">
        <v>18</v>
      </c>
      <c r="J43" s="1" t="s">
        <v>136</v>
      </c>
    </row>
    <row r="44" spans="1:10" x14ac:dyDescent="0.35">
      <c r="A44">
        <v>143</v>
      </c>
      <c r="B44" s="1" t="s">
        <v>82</v>
      </c>
      <c r="C44" s="2">
        <v>46092</v>
      </c>
      <c r="D44" s="1" t="s">
        <v>433</v>
      </c>
      <c r="E44" s="1" t="s">
        <v>292</v>
      </c>
      <c r="F44">
        <v>1698</v>
      </c>
      <c r="G44" s="1" t="s">
        <v>86</v>
      </c>
      <c r="H44" s="1" t="s">
        <v>53</v>
      </c>
      <c r="I44" s="1" t="s">
        <v>74</v>
      </c>
      <c r="J44" s="1" t="s">
        <v>136</v>
      </c>
    </row>
    <row r="45" spans="1:10" x14ac:dyDescent="0.35">
      <c r="A45">
        <v>144</v>
      </c>
      <c r="B45" s="1" t="s">
        <v>411</v>
      </c>
      <c r="C45" s="2">
        <v>46096</v>
      </c>
      <c r="D45" s="1" t="s">
        <v>434</v>
      </c>
      <c r="E45" s="1" t="s">
        <v>168</v>
      </c>
      <c r="F45">
        <v>1112</v>
      </c>
      <c r="G45" s="1" t="s">
        <v>424</v>
      </c>
      <c r="H45" s="1" t="s">
        <v>53</v>
      </c>
      <c r="I45" s="1" t="s">
        <v>3</v>
      </c>
      <c r="J45" s="1" t="s">
        <v>136</v>
      </c>
    </row>
    <row r="46" spans="1:10" x14ac:dyDescent="0.35">
      <c r="A46">
        <v>145</v>
      </c>
      <c r="B46" s="1" t="s">
        <v>402</v>
      </c>
      <c r="C46" s="2">
        <v>46092</v>
      </c>
      <c r="D46" s="1" t="s">
        <v>435</v>
      </c>
      <c r="E46" s="1" t="s">
        <v>221</v>
      </c>
      <c r="F46">
        <v>3852</v>
      </c>
      <c r="G46" s="1" t="s">
        <v>114</v>
      </c>
      <c r="H46" s="1" t="s">
        <v>53</v>
      </c>
      <c r="I46" s="1" t="s">
        <v>98</v>
      </c>
      <c r="J46" s="1" t="s">
        <v>136</v>
      </c>
    </row>
    <row r="47" spans="1:10" x14ac:dyDescent="0.35">
      <c r="A47">
        <v>146</v>
      </c>
      <c r="B47" s="1" t="s">
        <v>138</v>
      </c>
      <c r="C47" s="2">
        <v>46089</v>
      </c>
      <c r="D47" s="1" t="s">
        <v>436</v>
      </c>
      <c r="E47" s="1" t="s">
        <v>140</v>
      </c>
      <c r="F47">
        <v>1207</v>
      </c>
      <c r="G47" s="1" t="s">
        <v>114</v>
      </c>
      <c r="H47" s="1" t="s">
        <v>53</v>
      </c>
      <c r="I47" s="1" t="s">
        <v>98</v>
      </c>
      <c r="J47" s="1" t="s">
        <v>37</v>
      </c>
    </row>
    <row r="48" spans="1:10" x14ac:dyDescent="0.35">
      <c r="A48">
        <v>147</v>
      </c>
      <c r="B48" s="1" t="s">
        <v>21</v>
      </c>
      <c r="C48" s="2">
        <v>46092</v>
      </c>
      <c r="D48" s="1" t="s">
        <v>437</v>
      </c>
      <c r="E48" s="1" t="s">
        <v>78</v>
      </c>
      <c r="F48">
        <v>4880</v>
      </c>
      <c r="G48" s="1" t="s">
        <v>52</v>
      </c>
      <c r="H48" s="1" t="s">
        <v>73</v>
      </c>
      <c r="I48" s="1" t="s">
        <v>18</v>
      </c>
      <c r="J48" s="1" t="s">
        <v>37</v>
      </c>
    </row>
    <row r="49" spans="1:10" x14ac:dyDescent="0.35">
      <c r="A49">
        <v>148</v>
      </c>
      <c r="B49" s="1" t="s">
        <v>397</v>
      </c>
      <c r="C49" s="2">
        <v>46096</v>
      </c>
      <c r="D49" s="1" t="s">
        <v>438</v>
      </c>
      <c r="E49" s="1" t="s">
        <v>172</v>
      </c>
      <c r="F49">
        <v>1528</v>
      </c>
      <c r="G49" s="1" t="s">
        <v>407</v>
      </c>
      <c r="H49" s="1" t="s">
        <v>53</v>
      </c>
      <c r="I49" s="1" t="s">
        <v>74</v>
      </c>
      <c r="J49" s="1" t="s">
        <v>37</v>
      </c>
    </row>
    <row r="50" spans="1:10" x14ac:dyDescent="0.35">
      <c r="A50">
        <v>149</v>
      </c>
      <c r="B50" s="1" t="s">
        <v>397</v>
      </c>
      <c r="C50" s="2">
        <v>46092</v>
      </c>
      <c r="D50" s="1" t="s">
        <v>233</v>
      </c>
      <c r="E50" s="1" t="s">
        <v>172</v>
      </c>
      <c r="F50">
        <v>5787</v>
      </c>
      <c r="G50" s="1" t="s">
        <v>86</v>
      </c>
      <c r="H50" s="1" t="s">
        <v>73</v>
      </c>
      <c r="I50" s="1" t="s">
        <v>3</v>
      </c>
      <c r="J50" s="1" t="s">
        <v>136</v>
      </c>
    </row>
    <row r="51" spans="1:10" x14ac:dyDescent="0.35">
      <c r="A51">
        <v>150</v>
      </c>
      <c r="B51" s="1" t="s">
        <v>403</v>
      </c>
      <c r="C51" s="2">
        <v>46095</v>
      </c>
      <c r="D51" s="1" t="s">
        <v>439</v>
      </c>
      <c r="E51" s="1" t="s">
        <v>50</v>
      </c>
      <c r="F51">
        <v>3569</v>
      </c>
      <c r="G51" s="1" t="s">
        <v>86</v>
      </c>
      <c r="H51" s="1" t="s">
        <v>73</v>
      </c>
      <c r="I51" s="1" t="s">
        <v>74</v>
      </c>
      <c r="J51" s="1" t="s">
        <v>136</v>
      </c>
    </row>
    <row r="52" spans="1:10" x14ac:dyDescent="0.35">
      <c r="A52">
        <v>151</v>
      </c>
      <c r="B52" s="1" t="s">
        <v>402</v>
      </c>
      <c r="C52" s="2">
        <v>46095</v>
      </c>
      <c r="D52" s="1" t="s">
        <v>440</v>
      </c>
      <c r="E52" s="1" t="s">
        <v>221</v>
      </c>
      <c r="F52">
        <v>3625</v>
      </c>
      <c r="G52" s="1" t="s">
        <v>35</v>
      </c>
      <c r="H52" s="1" t="s">
        <v>53</v>
      </c>
      <c r="I52" s="1" t="s">
        <v>3</v>
      </c>
      <c r="J52" s="1" t="s">
        <v>37</v>
      </c>
    </row>
    <row r="53" spans="1:10" x14ac:dyDescent="0.35">
      <c r="A53">
        <v>152</v>
      </c>
      <c r="B53" s="1" t="s">
        <v>397</v>
      </c>
      <c r="C53" s="2">
        <v>46094</v>
      </c>
      <c r="D53" s="1" t="s">
        <v>441</v>
      </c>
      <c r="E53" s="1" t="s">
        <v>172</v>
      </c>
      <c r="F53">
        <v>3493</v>
      </c>
      <c r="G53" s="1" t="s">
        <v>398</v>
      </c>
      <c r="H53" s="1" t="s">
        <v>53</v>
      </c>
      <c r="I53" s="1" t="s">
        <v>3</v>
      </c>
      <c r="J53" s="1" t="s">
        <v>136</v>
      </c>
    </row>
    <row r="54" spans="1:10" x14ac:dyDescent="0.35">
      <c r="A54">
        <v>153</v>
      </c>
      <c r="B54" s="1" t="s">
        <v>402</v>
      </c>
      <c r="C54" s="2">
        <v>46092</v>
      </c>
      <c r="D54" s="1" t="s">
        <v>442</v>
      </c>
      <c r="E54" s="1" t="s">
        <v>221</v>
      </c>
      <c r="F54">
        <v>4040</v>
      </c>
      <c r="G54" s="1" t="s">
        <v>413</v>
      </c>
      <c r="H54" s="1" t="s">
        <v>73</v>
      </c>
      <c r="I54" s="1" t="s">
        <v>3</v>
      </c>
      <c r="J54" s="1" t="s">
        <v>136</v>
      </c>
    </row>
    <row r="55" spans="1:10" x14ac:dyDescent="0.35">
      <c r="A55">
        <v>154</v>
      </c>
      <c r="B55" s="1" t="s">
        <v>402</v>
      </c>
      <c r="C55" s="2">
        <v>46091</v>
      </c>
      <c r="D55" s="1" t="s">
        <v>249</v>
      </c>
      <c r="E55" s="1" t="s">
        <v>221</v>
      </c>
      <c r="F55">
        <v>3859</v>
      </c>
      <c r="G55" s="1" t="s">
        <v>26</v>
      </c>
      <c r="H55" s="1" t="s">
        <v>53</v>
      </c>
      <c r="I55" s="1" t="s">
        <v>18</v>
      </c>
      <c r="J55" s="1" t="s">
        <v>136</v>
      </c>
    </row>
    <row r="56" spans="1:10" x14ac:dyDescent="0.35">
      <c r="A56">
        <v>155</v>
      </c>
      <c r="B56" s="1" t="s">
        <v>414</v>
      </c>
      <c r="C56" s="2">
        <v>46092</v>
      </c>
      <c r="D56" s="1" t="s">
        <v>252</v>
      </c>
      <c r="E56" s="1" t="s">
        <v>105</v>
      </c>
      <c r="F56">
        <v>4469</v>
      </c>
      <c r="G56" s="1" t="s">
        <v>35</v>
      </c>
      <c r="H56" s="1" t="s">
        <v>73</v>
      </c>
      <c r="I56" s="1" t="s">
        <v>18</v>
      </c>
      <c r="J56" s="1" t="s">
        <v>37</v>
      </c>
    </row>
    <row r="57" spans="1:10" x14ac:dyDescent="0.35">
      <c r="A57">
        <v>156</v>
      </c>
      <c r="B57" s="1" t="s">
        <v>397</v>
      </c>
      <c r="C57" s="2">
        <v>46088</v>
      </c>
      <c r="D57" s="1" t="s">
        <v>256</v>
      </c>
      <c r="E57" s="1" t="s">
        <v>172</v>
      </c>
      <c r="F57">
        <v>2501</v>
      </c>
      <c r="G57" s="1" t="s">
        <v>407</v>
      </c>
      <c r="H57" s="1" t="s">
        <v>53</v>
      </c>
      <c r="I57" s="1" t="s">
        <v>74</v>
      </c>
      <c r="J57" s="1" t="s">
        <v>136</v>
      </c>
    </row>
    <row r="58" spans="1:10" x14ac:dyDescent="0.35">
      <c r="A58">
        <v>157</v>
      </c>
      <c r="B58" s="1" t="s">
        <v>82</v>
      </c>
      <c r="C58" s="2">
        <v>46094</v>
      </c>
      <c r="D58" s="1" t="s">
        <v>443</v>
      </c>
      <c r="E58" s="1" t="s">
        <v>292</v>
      </c>
      <c r="F58">
        <v>3837</v>
      </c>
      <c r="G58" s="1" t="s">
        <v>405</v>
      </c>
      <c r="H58" s="1" t="s">
        <v>53</v>
      </c>
      <c r="I58" s="1" t="s">
        <v>74</v>
      </c>
      <c r="J58" s="1" t="s">
        <v>136</v>
      </c>
    </row>
    <row r="59" spans="1:10" x14ac:dyDescent="0.35">
      <c r="A59">
        <v>158</v>
      </c>
      <c r="B59" s="1" t="s">
        <v>21</v>
      </c>
      <c r="C59" s="2">
        <v>46090</v>
      </c>
      <c r="D59" s="1" t="s">
        <v>444</v>
      </c>
      <c r="E59" s="1" t="s">
        <v>78</v>
      </c>
      <c r="F59">
        <v>3912</v>
      </c>
      <c r="G59" s="1" t="s">
        <v>405</v>
      </c>
      <c r="H59" s="1" t="s">
        <v>53</v>
      </c>
      <c r="I59" s="1" t="s">
        <v>18</v>
      </c>
      <c r="J59" s="1" t="s">
        <v>37</v>
      </c>
    </row>
    <row r="60" spans="1:10" x14ac:dyDescent="0.35">
      <c r="A60">
        <v>159</v>
      </c>
      <c r="B60" s="1" t="s">
        <v>138</v>
      </c>
      <c r="C60" s="2">
        <v>46088</v>
      </c>
      <c r="D60" s="1" t="s">
        <v>445</v>
      </c>
      <c r="E60" s="1" t="s">
        <v>140</v>
      </c>
      <c r="F60">
        <v>3306</v>
      </c>
      <c r="G60" s="1" t="s">
        <v>413</v>
      </c>
      <c r="H60" s="1" t="s">
        <v>53</v>
      </c>
      <c r="I60" s="1" t="s">
        <v>74</v>
      </c>
      <c r="J60" s="1" t="s">
        <v>136</v>
      </c>
    </row>
    <row r="61" spans="1:10" x14ac:dyDescent="0.35">
      <c r="A61">
        <v>160</v>
      </c>
      <c r="B61" s="1" t="s">
        <v>82</v>
      </c>
      <c r="C61" s="2">
        <v>46089</v>
      </c>
      <c r="D61" s="1" t="s">
        <v>446</v>
      </c>
      <c r="E61" s="1" t="s">
        <v>292</v>
      </c>
      <c r="F61">
        <v>4193</v>
      </c>
      <c r="G61" s="1" t="s">
        <v>398</v>
      </c>
      <c r="H61" s="1" t="s">
        <v>53</v>
      </c>
      <c r="I61" s="1" t="s">
        <v>3</v>
      </c>
      <c r="J61" s="1" t="s">
        <v>136</v>
      </c>
    </row>
    <row r="62" spans="1:10" x14ac:dyDescent="0.35">
      <c r="A62">
        <v>161</v>
      </c>
      <c r="B62" s="1" t="s">
        <v>421</v>
      </c>
      <c r="C62" s="2">
        <v>46091</v>
      </c>
      <c r="D62" s="1" t="s">
        <v>447</v>
      </c>
      <c r="E62" s="1" t="s">
        <v>145</v>
      </c>
      <c r="F62">
        <v>2459</v>
      </c>
      <c r="G62" s="1" t="s">
        <v>407</v>
      </c>
      <c r="H62" s="1" t="s">
        <v>53</v>
      </c>
      <c r="I62" s="1" t="s">
        <v>18</v>
      </c>
      <c r="J62" s="1" t="s">
        <v>136</v>
      </c>
    </row>
    <row r="63" spans="1:10" x14ac:dyDescent="0.35">
      <c r="A63">
        <v>162</v>
      </c>
      <c r="B63" s="1" t="s">
        <v>411</v>
      </c>
      <c r="C63" s="2">
        <v>46089</v>
      </c>
      <c r="D63" s="1" t="s">
        <v>276</v>
      </c>
      <c r="E63" s="1" t="s">
        <v>168</v>
      </c>
      <c r="F63">
        <v>3148</v>
      </c>
      <c r="G63" s="1" t="s">
        <v>424</v>
      </c>
      <c r="H63" s="1" t="s">
        <v>73</v>
      </c>
      <c r="I63" s="1" t="s">
        <v>3</v>
      </c>
      <c r="J63" s="1" t="s">
        <v>136</v>
      </c>
    </row>
    <row r="64" spans="1:10" x14ac:dyDescent="0.35">
      <c r="A64">
        <v>163</v>
      </c>
      <c r="B64" s="1" t="s">
        <v>402</v>
      </c>
      <c r="C64" s="2">
        <v>46088</v>
      </c>
      <c r="D64" s="1" t="s">
        <v>279</v>
      </c>
      <c r="E64" s="1" t="s">
        <v>221</v>
      </c>
      <c r="F64">
        <v>4108</v>
      </c>
      <c r="G64" s="1" t="s">
        <v>424</v>
      </c>
      <c r="H64" s="1" t="s">
        <v>73</v>
      </c>
      <c r="I64" s="1" t="s">
        <v>74</v>
      </c>
      <c r="J64" s="1" t="s">
        <v>136</v>
      </c>
    </row>
    <row r="65" spans="1:10" x14ac:dyDescent="0.35">
      <c r="A65">
        <v>164</v>
      </c>
      <c r="B65" s="1" t="s">
        <v>421</v>
      </c>
      <c r="C65" s="2">
        <v>46090</v>
      </c>
      <c r="D65" s="1" t="s">
        <v>448</v>
      </c>
      <c r="E65" s="1" t="s">
        <v>145</v>
      </c>
      <c r="F65">
        <v>4939</v>
      </c>
      <c r="G65" s="1" t="s">
        <v>413</v>
      </c>
      <c r="H65" s="1" t="s">
        <v>73</v>
      </c>
      <c r="I65" s="1" t="s">
        <v>3</v>
      </c>
      <c r="J65" s="1" t="s">
        <v>136</v>
      </c>
    </row>
    <row r="66" spans="1:10" x14ac:dyDescent="0.35">
      <c r="A66">
        <v>165</v>
      </c>
      <c r="B66" s="1" t="s">
        <v>400</v>
      </c>
      <c r="C66" s="2">
        <v>46097</v>
      </c>
      <c r="D66" s="1" t="s">
        <v>285</v>
      </c>
      <c r="E66" s="1" t="s">
        <v>401</v>
      </c>
      <c r="F66">
        <v>2240</v>
      </c>
      <c r="G66" s="1" t="s">
        <v>26</v>
      </c>
      <c r="H66" s="1" t="s">
        <v>73</v>
      </c>
      <c r="I66" s="1" t="s">
        <v>18</v>
      </c>
      <c r="J66" s="1" t="s">
        <v>37</v>
      </c>
    </row>
    <row r="67" spans="1:10" x14ac:dyDescent="0.35">
      <c r="A67">
        <v>166</v>
      </c>
      <c r="B67" s="1" t="s">
        <v>82</v>
      </c>
      <c r="C67" s="2">
        <v>46095</v>
      </c>
      <c r="D67" s="1" t="s">
        <v>449</v>
      </c>
      <c r="E67" s="1" t="s">
        <v>292</v>
      </c>
      <c r="F67">
        <v>4033</v>
      </c>
      <c r="G67" s="1" t="s">
        <v>398</v>
      </c>
      <c r="H67" s="1" t="s">
        <v>73</v>
      </c>
      <c r="I67" s="1" t="s">
        <v>74</v>
      </c>
      <c r="J67" s="1" t="s">
        <v>37</v>
      </c>
    </row>
    <row r="68" spans="1:10" x14ac:dyDescent="0.35">
      <c r="A68">
        <v>167</v>
      </c>
      <c r="B68" s="1" t="s">
        <v>82</v>
      </c>
      <c r="C68" s="2">
        <v>46096</v>
      </c>
      <c r="D68" s="1" t="s">
        <v>291</v>
      </c>
      <c r="E68" s="1" t="s">
        <v>292</v>
      </c>
      <c r="F68">
        <v>4553</v>
      </c>
      <c r="G68" s="1" t="s">
        <v>413</v>
      </c>
      <c r="H68" s="1" t="s">
        <v>73</v>
      </c>
      <c r="I68" s="1" t="s">
        <v>3</v>
      </c>
      <c r="J68" s="1" t="s">
        <v>136</v>
      </c>
    </row>
    <row r="69" spans="1:10" x14ac:dyDescent="0.35">
      <c r="A69">
        <v>168</v>
      </c>
      <c r="B69" s="1" t="s">
        <v>397</v>
      </c>
      <c r="C69" s="2">
        <v>46090</v>
      </c>
      <c r="D69" s="1" t="s">
        <v>295</v>
      </c>
      <c r="E69" s="1" t="s">
        <v>172</v>
      </c>
      <c r="F69">
        <v>3490</v>
      </c>
      <c r="G69" s="1" t="s">
        <v>52</v>
      </c>
      <c r="H69" s="1" t="s">
        <v>73</v>
      </c>
      <c r="I69" s="1" t="s">
        <v>18</v>
      </c>
      <c r="J69" s="1" t="s">
        <v>37</v>
      </c>
    </row>
    <row r="70" spans="1:10" x14ac:dyDescent="0.35">
      <c r="A70">
        <v>169</v>
      </c>
      <c r="B70" s="1" t="s">
        <v>21</v>
      </c>
      <c r="C70" s="2">
        <v>46091</v>
      </c>
      <c r="D70" s="1" t="s">
        <v>298</v>
      </c>
      <c r="E70" s="1" t="s">
        <v>78</v>
      </c>
      <c r="F70">
        <v>2519</v>
      </c>
      <c r="G70" s="1" t="s">
        <v>35</v>
      </c>
      <c r="H70" s="1" t="s">
        <v>73</v>
      </c>
      <c r="I70" s="1" t="s">
        <v>74</v>
      </c>
      <c r="J70" s="1" t="s">
        <v>37</v>
      </c>
    </row>
    <row r="71" spans="1:10" x14ac:dyDescent="0.35">
      <c r="A71">
        <v>170</v>
      </c>
      <c r="B71" s="1" t="s">
        <v>138</v>
      </c>
      <c r="C71" s="2">
        <v>46094</v>
      </c>
      <c r="D71" s="1" t="s">
        <v>450</v>
      </c>
      <c r="E71" s="1" t="s">
        <v>140</v>
      </c>
      <c r="F71">
        <v>3604</v>
      </c>
      <c r="G71" s="1" t="s">
        <v>26</v>
      </c>
      <c r="H71" s="1" t="s">
        <v>53</v>
      </c>
      <c r="I71" s="1" t="s">
        <v>74</v>
      </c>
      <c r="J71" s="1" t="s">
        <v>136</v>
      </c>
    </row>
    <row r="72" spans="1:10" x14ac:dyDescent="0.35">
      <c r="A72">
        <v>171</v>
      </c>
      <c r="B72" s="1" t="s">
        <v>82</v>
      </c>
      <c r="C72" s="2">
        <v>46091</v>
      </c>
      <c r="D72" s="1" t="s">
        <v>451</v>
      </c>
      <c r="E72" s="1" t="s">
        <v>292</v>
      </c>
      <c r="F72">
        <v>4843</v>
      </c>
      <c r="G72" s="1" t="s">
        <v>114</v>
      </c>
      <c r="H72" s="1" t="s">
        <v>53</v>
      </c>
      <c r="I72" s="1" t="s">
        <v>18</v>
      </c>
      <c r="J72" s="1" t="s">
        <v>136</v>
      </c>
    </row>
    <row r="73" spans="1:10" x14ac:dyDescent="0.35">
      <c r="A73">
        <v>172</v>
      </c>
      <c r="B73" s="1" t="s">
        <v>82</v>
      </c>
      <c r="C73" s="2">
        <v>46091</v>
      </c>
      <c r="D73" s="1" t="s">
        <v>307</v>
      </c>
      <c r="E73" s="1" t="s">
        <v>292</v>
      </c>
      <c r="F73">
        <v>4338</v>
      </c>
      <c r="G73" s="1" t="s">
        <v>35</v>
      </c>
      <c r="H73" s="1" t="s">
        <v>53</v>
      </c>
      <c r="I73" s="1" t="s">
        <v>98</v>
      </c>
      <c r="J73" s="1" t="s">
        <v>136</v>
      </c>
    </row>
    <row r="74" spans="1:10" x14ac:dyDescent="0.35">
      <c r="A74">
        <v>173</v>
      </c>
      <c r="B74" s="1" t="s">
        <v>403</v>
      </c>
      <c r="C74" s="2">
        <v>46097</v>
      </c>
      <c r="D74" s="1" t="s">
        <v>452</v>
      </c>
      <c r="E74" s="1" t="s">
        <v>50</v>
      </c>
      <c r="F74">
        <v>1068</v>
      </c>
      <c r="G74" s="1" t="s">
        <v>114</v>
      </c>
      <c r="H74" s="1" t="s">
        <v>73</v>
      </c>
      <c r="I74" s="1" t="s">
        <v>18</v>
      </c>
      <c r="J74" s="1" t="s">
        <v>136</v>
      </c>
    </row>
    <row r="75" spans="1:10" x14ac:dyDescent="0.35">
      <c r="A75">
        <v>174</v>
      </c>
      <c r="B75" s="1" t="s">
        <v>82</v>
      </c>
      <c r="C75" s="2">
        <v>46090</v>
      </c>
      <c r="D75" s="1" t="s">
        <v>314</v>
      </c>
      <c r="E75" s="1" t="s">
        <v>292</v>
      </c>
      <c r="F75">
        <v>3191</v>
      </c>
      <c r="G75" s="1" t="s">
        <v>26</v>
      </c>
      <c r="H75" s="1" t="s">
        <v>53</v>
      </c>
      <c r="I75" s="1" t="s">
        <v>3</v>
      </c>
      <c r="J75" s="1" t="s">
        <v>136</v>
      </c>
    </row>
    <row r="76" spans="1:10" x14ac:dyDescent="0.35">
      <c r="A76">
        <v>175</v>
      </c>
      <c r="B76" s="1" t="s">
        <v>402</v>
      </c>
      <c r="C76" s="2">
        <v>46091</v>
      </c>
      <c r="D76" s="1" t="s">
        <v>317</v>
      </c>
      <c r="E76" s="1" t="s">
        <v>221</v>
      </c>
      <c r="F76">
        <v>4110</v>
      </c>
      <c r="G76" s="1" t="s">
        <v>407</v>
      </c>
      <c r="H76" s="1" t="s">
        <v>73</v>
      </c>
      <c r="I76" s="1" t="s">
        <v>98</v>
      </c>
      <c r="J76" s="1" t="s">
        <v>37</v>
      </c>
    </row>
    <row r="77" spans="1:10" x14ac:dyDescent="0.35">
      <c r="A77">
        <v>176</v>
      </c>
      <c r="B77" s="1" t="s">
        <v>82</v>
      </c>
      <c r="C77" s="2">
        <v>46094</v>
      </c>
      <c r="D77" s="1" t="s">
        <v>320</v>
      </c>
      <c r="E77" s="1" t="s">
        <v>292</v>
      </c>
      <c r="F77">
        <v>3853</v>
      </c>
      <c r="G77" s="1" t="s">
        <v>26</v>
      </c>
      <c r="H77" s="1" t="s">
        <v>53</v>
      </c>
      <c r="I77" s="1" t="s">
        <v>98</v>
      </c>
      <c r="J77" s="1" t="s">
        <v>136</v>
      </c>
    </row>
    <row r="78" spans="1:10" x14ac:dyDescent="0.35">
      <c r="A78">
        <v>177</v>
      </c>
      <c r="B78" s="1" t="s">
        <v>403</v>
      </c>
      <c r="C78" s="2">
        <v>46088</v>
      </c>
      <c r="D78" s="1" t="s">
        <v>453</v>
      </c>
      <c r="E78" s="1" t="s">
        <v>50</v>
      </c>
      <c r="F78">
        <v>2190</v>
      </c>
      <c r="G78" s="1" t="s">
        <v>407</v>
      </c>
      <c r="H78" s="1" t="s">
        <v>53</v>
      </c>
      <c r="I78" s="1" t="s">
        <v>3</v>
      </c>
      <c r="J78" s="1" t="s">
        <v>136</v>
      </c>
    </row>
    <row r="79" spans="1:10" x14ac:dyDescent="0.35">
      <c r="A79">
        <v>178</v>
      </c>
      <c r="B79" s="1" t="s">
        <v>397</v>
      </c>
      <c r="C79" s="2">
        <v>46097</v>
      </c>
      <c r="D79" s="1" t="s">
        <v>326</v>
      </c>
      <c r="E79" s="1" t="s">
        <v>172</v>
      </c>
      <c r="F79">
        <v>2099</v>
      </c>
      <c r="G79" s="1" t="s">
        <v>424</v>
      </c>
      <c r="H79" s="1" t="s">
        <v>53</v>
      </c>
      <c r="I79" s="1" t="s">
        <v>3</v>
      </c>
      <c r="J79" s="1" t="s">
        <v>136</v>
      </c>
    </row>
    <row r="80" spans="1:10" x14ac:dyDescent="0.35">
      <c r="A80">
        <v>179</v>
      </c>
      <c r="B80" s="1" t="s">
        <v>421</v>
      </c>
      <c r="C80" s="2">
        <v>46090</v>
      </c>
      <c r="D80" s="1" t="s">
        <v>329</v>
      </c>
      <c r="E80" s="1" t="s">
        <v>145</v>
      </c>
      <c r="F80">
        <v>2129</v>
      </c>
      <c r="G80" s="1" t="s">
        <v>405</v>
      </c>
      <c r="H80" s="1" t="s">
        <v>53</v>
      </c>
      <c r="I80" s="1" t="s">
        <v>3</v>
      </c>
      <c r="J80" s="1" t="s">
        <v>136</v>
      </c>
    </row>
    <row r="81" spans="1:10" x14ac:dyDescent="0.35">
      <c r="A81">
        <v>180</v>
      </c>
      <c r="B81" s="1" t="s">
        <v>138</v>
      </c>
      <c r="C81" s="2">
        <v>46096</v>
      </c>
      <c r="D81" s="1" t="s">
        <v>454</v>
      </c>
      <c r="E81" s="1" t="s">
        <v>140</v>
      </c>
      <c r="F81">
        <v>1650</v>
      </c>
      <c r="G81" s="1" t="s">
        <v>413</v>
      </c>
      <c r="H81" s="1" t="s">
        <v>73</v>
      </c>
      <c r="I81" s="1" t="s">
        <v>18</v>
      </c>
      <c r="J81" s="1" t="s">
        <v>37</v>
      </c>
    </row>
    <row r="82" spans="1:10" x14ac:dyDescent="0.35">
      <c r="A82">
        <v>181</v>
      </c>
      <c r="B82" s="1" t="s">
        <v>82</v>
      </c>
      <c r="C82" s="2">
        <v>46090</v>
      </c>
      <c r="D82" s="1" t="s">
        <v>455</v>
      </c>
      <c r="E82" s="1" t="s">
        <v>292</v>
      </c>
      <c r="F82">
        <v>5634</v>
      </c>
      <c r="G82" s="1" t="s">
        <v>407</v>
      </c>
      <c r="H82" s="1" t="s">
        <v>53</v>
      </c>
      <c r="I82" s="1" t="s">
        <v>18</v>
      </c>
      <c r="J82" s="1" t="s">
        <v>37</v>
      </c>
    </row>
    <row r="83" spans="1:10" x14ac:dyDescent="0.35">
      <c r="A83">
        <v>182</v>
      </c>
      <c r="B83" s="1" t="s">
        <v>402</v>
      </c>
      <c r="C83" s="2">
        <v>46097</v>
      </c>
      <c r="D83" s="1" t="s">
        <v>456</v>
      </c>
      <c r="E83" s="1" t="s">
        <v>221</v>
      </c>
      <c r="F83">
        <v>1863</v>
      </c>
      <c r="G83" s="1" t="s">
        <v>86</v>
      </c>
      <c r="H83" s="1" t="s">
        <v>73</v>
      </c>
      <c r="I83" s="1" t="s">
        <v>98</v>
      </c>
      <c r="J83" s="1" t="s">
        <v>136</v>
      </c>
    </row>
    <row r="84" spans="1:10" x14ac:dyDescent="0.35">
      <c r="A84">
        <v>183</v>
      </c>
      <c r="B84" s="1" t="s">
        <v>411</v>
      </c>
      <c r="C84" s="2">
        <v>46088</v>
      </c>
      <c r="D84" s="1" t="s">
        <v>457</v>
      </c>
      <c r="E84" s="1" t="s">
        <v>168</v>
      </c>
      <c r="F84">
        <v>3216</v>
      </c>
      <c r="G84" s="1" t="s">
        <v>114</v>
      </c>
      <c r="H84" s="1" t="s">
        <v>53</v>
      </c>
      <c r="I84" s="1" t="s">
        <v>18</v>
      </c>
      <c r="J84" s="1" t="s">
        <v>37</v>
      </c>
    </row>
    <row r="85" spans="1:10" x14ac:dyDescent="0.35">
      <c r="A85">
        <v>184</v>
      </c>
      <c r="B85" s="1" t="s">
        <v>411</v>
      </c>
      <c r="C85" s="2">
        <v>46097</v>
      </c>
      <c r="D85" s="1" t="s">
        <v>344</v>
      </c>
      <c r="E85" s="1" t="s">
        <v>168</v>
      </c>
      <c r="F85">
        <v>3960</v>
      </c>
      <c r="G85" s="1" t="s">
        <v>86</v>
      </c>
      <c r="H85" s="1" t="s">
        <v>53</v>
      </c>
      <c r="I85" s="1" t="s">
        <v>98</v>
      </c>
      <c r="J85" s="1" t="s">
        <v>37</v>
      </c>
    </row>
    <row r="86" spans="1:10" x14ac:dyDescent="0.35">
      <c r="A86">
        <v>185</v>
      </c>
      <c r="B86" s="1" t="s">
        <v>400</v>
      </c>
      <c r="C86" s="2">
        <v>46095</v>
      </c>
      <c r="D86" s="1" t="s">
        <v>347</v>
      </c>
      <c r="E86" s="1" t="s">
        <v>401</v>
      </c>
      <c r="F86">
        <v>1939</v>
      </c>
      <c r="G86" s="1" t="s">
        <v>424</v>
      </c>
      <c r="H86" s="1" t="s">
        <v>53</v>
      </c>
      <c r="I86" s="1" t="s">
        <v>98</v>
      </c>
      <c r="J86" s="1" t="s">
        <v>136</v>
      </c>
    </row>
    <row r="87" spans="1:10" x14ac:dyDescent="0.35">
      <c r="A87">
        <v>186</v>
      </c>
      <c r="B87" s="1" t="s">
        <v>21</v>
      </c>
      <c r="C87" s="2">
        <v>46088</v>
      </c>
      <c r="D87" s="1" t="s">
        <v>458</v>
      </c>
      <c r="E87" s="1" t="s">
        <v>78</v>
      </c>
      <c r="F87">
        <v>3370</v>
      </c>
      <c r="G87" s="1" t="s">
        <v>35</v>
      </c>
      <c r="H87" s="1" t="s">
        <v>73</v>
      </c>
      <c r="I87" s="1" t="s">
        <v>3</v>
      </c>
      <c r="J87" s="1" t="s">
        <v>136</v>
      </c>
    </row>
    <row r="88" spans="1:10" x14ac:dyDescent="0.35">
      <c r="A88">
        <v>187</v>
      </c>
      <c r="B88" s="1" t="s">
        <v>402</v>
      </c>
      <c r="C88" s="2">
        <v>46095</v>
      </c>
      <c r="D88" s="1" t="s">
        <v>459</v>
      </c>
      <c r="E88" s="1" t="s">
        <v>221</v>
      </c>
      <c r="F88">
        <v>4399</v>
      </c>
      <c r="G88" s="1" t="s">
        <v>405</v>
      </c>
      <c r="H88" s="1" t="s">
        <v>53</v>
      </c>
      <c r="I88" s="1" t="s">
        <v>98</v>
      </c>
      <c r="J88" s="1" t="s">
        <v>136</v>
      </c>
    </row>
    <row r="89" spans="1:10" x14ac:dyDescent="0.35">
      <c r="A89">
        <v>188</v>
      </c>
      <c r="B89" s="1" t="s">
        <v>397</v>
      </c>
      <c r="C89" s="2">
        <v>46090</v>
      </c>
      <c r="D89" s="1" t="s">
        <v>356</v>
      </c>
      <c r="E89" s="1" t="s">
        <v>172</v>
      </c>
      <c r="F89">
        <v>4600</v>
      </c>
      <c r="G89" s="1" t="s">
        <v>26</v>
      </c>
      <c r="H89" s="1" t="s">
        <v>73</v>
      </c>
      <c r="I89" s="1" t="s">
        <v>3</v>
      </c>
      <c r="J89" s="1" t="s">
        <v>37</v>
      </c>
    </row>
    <row r="90" spans="1:10" x14ac:dyDescent="0.35">
      <c r="A90">
        <v>189</v>
      </c>
      <c r="B90" s="1" t="s">
        <v>82</v>
      </c>
      <c r="C90" s="2">
        <v>46096</v>
      </c>
      <c r="D90" s="1" t="s">
        <v>359</v>
      </c>
      <c r="E90" s="1" t="s">
        <v>292</v>
      </c>
      <c r="F90">
        <v>3724</v>
      </c>
      <c r="G90" s="1" t="s">
        <v>413</v>
      </c>
      <c r="H90" s="1" t="s">
        <v>53</v>
      </c>
      <c r="I90" s="1" t="s">
        <v>18</v>
      </c>
      <c r="J90" s="1" t="s">
        <v>136</v>
      </c>
    </row>
    <row r="91" spans="1:10" x14ac:dyDescent="0.35">
      <c r="A91">
        <v>190</v>
      </c>
      <c r="B91" s="1" t="s">
        <v>402</v>
      </c>
      <c r="C91" s="2">
        <v>46097</v>
      </c>
      <c r="D91" s="1" t="s">
        <v>460</v>
      </c>
      <c r="E91" s="1" t="s">
        <v>221</v>
      </c>
      <c r="F91">
        <v>4964</v>
      </c>
      <c r="G91" s="1" t="s">
        <v>413</v>
      </c>
      <c r="H91" s="1" t="s">
        <v>73</v>
      </c>
      <c r="I91" s="1" t="s">
        <v>3</v>
      </c>
      <c r="J91" s="1" t="s">
        <v>37</v>
      </c>
    </row>
    <row r="92" spans="1:10" x14ac:dyDescent="0.35">
      <c r="A92">
        <v>191</v>
      </c>
      <c r="B92" s="1" t="s">
        <v>400</v>
      </c>
      <c r="C92" s="2">
        <v>46092</v>
      </c>
      <c r="D92" s="1" t="s">
        <v>461</v>
      </c>
      <c r="E92" s="1" t="s">
        <v>401</v>
      </c>
      <c r="F92">
        <v>1860</v>
      </c>
      <c r="G92" s="1" t="s">
        <v>413</v>
      </c>
      <c r="H92" s="1" t="s">
        <v>73</v>
      </c>
      <c r="I92" s="1" t="s">
        <v>74</v>
      </c>
      <c r="J92" s="1" t="s">
        <v>136</v>
      </c>
    </row>
    <row r="93" spans="1:10" x14ac:dyDescent="0.35">
      <c r="A93">
        <v>192</v>
      </c>
      <c r="B93" s="1" t="s">
        <v>397</v>
      </c>
      <c r="C93" s="2">
        <v>46096</v>
      </c>
      <c r="D93" s="1" t="s">
        <v>462</v>
      </c>
      <c r="E93" s="1" t="s">
        <v>172</v>
      </c>
      <c r="F93">
        <v>4297</v>
      </c>
      <c r="G93" s="1" t="s">
        <v>52</v>
      </c>
      <c r="H93" s="1" t="s">
        <v>53</v>
      </c>
      <c r="I93" s="1" t="s">
        <v>74</v>
      </c>
      <c r="J93" s="1" t="s">
        <v>136</v>
      </c>
    </row>
    <row r="94" spans="1:10" x14ac:dyDescent="0.35">
      <c r="A94">
        <v>193</v>
      </c>
      <c r="B94" s="1" t="s">
        <v>82</v>
      </c>
      <c r="C94" s="2">
        <v>46090</v>
      </c>
      <c r="D94" s="1" t="s">
        <v>371</v>
      </c>
      <c r="E94" s="1" t="s">
        <v>292</v>
      </c>
      <c r="F94">
        <v>3333</v>
      </c>
      <c r="G94" s="1" t="s">
        <v>26</v>
      </c>
      <c r="H94" s="1" t="s">
        <v>73</v>
      </c>
      <c r="I94" s="1" t="s">
        <v>74</v>
      </c>
      <c r="J94" s="1" t="s">
        <v>136</v>
      </c>
    </row>
    <row r="95" spans="1:10" x14ac:dyDescent="0.35">
      <c r="A95">
        <v>194</v>
      </c>
      <c r="B95" s="1" t="s">
        <v>21</v>
      </c>
      <c r="C95" s="2">
        <v>46090</v>
      </c>
      <c r="D95" s="1" t="s">
        <v>463</v>
      </c>
      <c r="E95" s="1" t="s">
        <v>78</v>
      </c>
      <c r="F95">
        <v>2933</v>
      </c>
      <c r="G95" s="1" t="s">
        <v>424</v>
      </c>
      <c r="H95" s="1" t="s">
        <v>73</v>
      </c>
      <c r="I95" s="1" t="s">
        <v>18</v>
      </c>
      <c r="J95" s="1" t="s">
        <v>136</v>
      </c>
    </row>
    <row r="96" spans="1:10" x14ac:dyDescent="0.35">
      <c r="A96">
        <v>195</v>
      </c>
      <c r="B96" s="1" t="s">
        <v>421</v>
      </c>
      <c r="C96" s="2">
        <v>46096</v>
      </c>
      <c r="D96" s="1" t="s">
        <v>464</v>
      </c>
      <c r="E96" s="1" t="s">
        <v>145</v>
      </c>
      <c r="F96">
        <v>4870</v>
      </c>
      <c r="G96" s="1" t="s">
        <v>52</v>
      </c>
      <c r="H96" s="1" t="s">
        <v>53</v>
      </c>
      <c r="I96" s="1" t="s">
        <v>98</v>
      </c>
      <c r="J96" s="1" t="s">
        <v>136</v>
      </c>
    </row>
    <row r="97" spans="1:10" x14ac:dyDescent="0.35">
      <c r="A97">
        <v>196</v>
      </c>
      <c r="B97" s="1" t="s">
        <v>138</v>
      </c>
      <c r="C97" s="2">
        <v>46094</v>
      </c>
      <c r="D97" s="1" t="s">
        <v>380</v>
      </c>
      <c r="E97" s="1" t="s">
        <v>140</v>
      </c>
      <c r="F97">
        <v>3051</v>
      </c>
      <c r="G97" s="1" t="s">
        <v>407</v>
      </c>
      <c r="H97" s="1" t="s">
        <v>53</v>
      </c>
      <c r="I97" s="1" t="s">
        <v>3</v>
      </c>
      <c r="J97" s="1" t="s">
        <v>136</v>
      </c>
    </row>
    <row r="98" spans="1:10" x14ac:dyDescent="0.35">
      <c r="A98">
        <v>197</v>
      </c>
      <c r="B98" s="1" t="s">
        <v>414</v>
      </c>
      <c r="C98" s="2">
        <v>46095</v>
      </c>
      <c r="D98" s="1" t="s">
        <v>383</v>
      </c>
      <c r="E98" s="1" t="s">
        <v>105</v>
      </c>
      <c r="F98">
        <v>1018</v>
      </c>
      <c r="G98" s="1" t="s">
        <v>405</v>
      </c>
      <c r="H98" s="1" t="s">
        <v>53</v>
      </c>
      <c r="I98" s="1" t="s">
        <v>18</v>
      </c>
      <c r="J98" s="1" t="s">
        <v>37</v>
      </c>
    </row>
    <row r="99" spans="1:10" x14ac:dyDescent="0.35">
      <c r="A99">
        <v>198</v>
      </c>
      <c r="B99" s="1" t="s">
        <v>421</v>
      </c>
      <c r="C99" s="2">
        <v>46097</v>
      </c>
      <c r="D99" s="1" t="s">
        <v>465</v>
      </c>
      <c r="E99" s="1" t="s">
        <v>145</v>
      </c>
      <c r="F99">
        <v>4753</v>
      </c>
      <c r="G99" s="1" t="s">
        <v>86</v>
      </c>
      <c r="H99" s="1" t="s">
        <v>73</v>
      </c>
      <c r="I99" s="1" t="s">
        <v>3</v>
      </c>
      <c r="J99" s="1" t="s">
        <v>136</v>
      </c>
    </row>
    <row r="100" spans="1:10" x14ac:dyDescent="0.35">
      <c r="A100">
        <v>199</v>
      </c>
      <c r="B100" s="1" t="s">
        <v>82</v>
      </c>
      <c r="C100" s="2">
        <v>46091</v>
      </c>
      <c r="D100" s="1" t="s">
        <v>466</v>
      </c>
      <c r="E100" s="1" t="s">
        <v>292</v>
      </c>
      <c r="F100">
        <v>5339</v>
      </c>
      <c r="G100" s="1" t="s">
        <v>114</v>
      </c>
      <c r="H100" s="1" t="s">
        <v>53</v>
      </c>
      <c r="I100" s="1" t="s">
        <v>98</v>
      </c>
      <c r="J100" s="1" t="s">
        <v>136</v>
      </c>
    </row>
    <row r="101" spans="1:10" x14ac:dyDescent="0.35">
      <c r="A101">
        <v>200</v>
      </c>
      <c r="B101" s="1" t="s">
        <v>138</v>
      </c>
      <c r="C101" s="2">
        <v>46093</v>
      </c>
      <c r="D101" s="1" t="s">
        <v>467</v>
      </c>
      <c r="E101" s="1" t="s">
        <v>140</v>
      </c>
      <c r="F101">
        <v>1252</v>
      </c>
      <c r="G101" s="1" t="s">
        <v>86</v>
      </c>
      <c r="H101" s="1" t="s">
        <v>53</v>
      </c>
      <c r="I101" s="1" t="s">
        <v>74</v>
      </c>
      <c r="J101" s="1" t="s">
        <v>37</v>
      </c>
    </row>
  </sheetData>
  <conditionalFormatting sqref="Q12:R12 Q13:Q16">
    <cfRule type="top10" dxfId="1" priority="1" percent="1" rank="1"/>
  </conditionalFormatting>
  <conditionalFormatting sqref="T6:U16">
    <cfRule type="top10" dxfId="0" priority="2" percent="1" rank="1"/>
  </conditionalFormatting>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078D-58B4-440C-AA0B-93794DD8EB15}">
  <dimension ref="A1"/>
  <sheetViews>
    <sheetView showGridLines="0" tabSelected="1" zoomScale="50" zoomScaleNormal="50" workbookViewId="0">
      <selection activeCell="D3" sqref="D3"/>
    </sheetView>
  </sheetViews>
  <sheetFormatPr defaultRowHeight="14.5" x14ac:dyDescent="0.3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workbookViewId="0">
      <selection sqref="A1:J1048576"/>
    </sheetView>
  </sheetViews>
  <sheetFormatPr defaultRowHeight="14.5" x14ac:dyDescent="0.35"/>
  <cols>
    <col min="6" max="6" width="9.6328125" customWidth="1"/>
    <col min="8" max="8" width="9" customWidth="1"/>
    <col min="9" max="9" width="9.453125" customWidth="1"/>
    <col min="10" max="10" width="19.54296875"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G2" t="s">
        <v>16</v>
      </c>
      <c r="H2" t="s">
        <v>17</v>
      </c>
      <c r="I2" t="s">
        <v>18</v>
      </c>
      <c r="J2" t="s">
        <v>19</v>
      </c>
    </row>
    <row r="3" spans="1:10" x14ac:dyDescent="0.35">
      <c r="A3" t="s">
        <v>20</v>
      </c>
      <c r="B3" t="s">
        <v>21</v>
      </c>
      <c r="C3" t="s">
        <v>22</v>
      </c>
      <c r="D3" t="s">
        <v>23</v>
      </c>
      <c r="E3" t="s">
        <v>24</v>
      </c>
      <c r="F3" t="s">
        <v>25</v>
      </c>
      <c r="G3" t="s">
        <v>26</v>
      </c>
      <c r="H3" t="s">
        <v>27</v>
      </c>
      <c r="I3" t="s">
        <v>3</v>
      </c>
      <c r="J3" t="s">
        <v>28</v>
      </c>
    </row>
    <row r="4" spans="1:10" x14ac:dyDescent="0.35">
      <c r="A4" t="s">
        <v>29</v>
      </c>
      <c r="B4" t="s">
        <v>30</v>
      </c>
      <c r="C4" t="s">
        <v>31</v>
      </c>
      <c r="D4" t="s">
        <v>32</v>
      </c>
      <c r="E4" t="s">
        <v>33</v>
      </c>
      <c r="F4" t="s">
        <v>34</v>
      </c>
      <c r="G4" t="s">
        <v>35</v>
      </c>
      <c r="H4" t="s">
        <v>27</v>
      </c>
      <c r="I4" t="s">
        <v>36</v>
      </c>
      <c r="J4" t="s">
        <v>37</v>
      </c>
    </row>
    <row r="5" spans="1:10" x14ac:dyDescent="0.35">
      <c r="A5" t="s">
        <v>38</v>
      </c>
      <c r="B5" t="s">
        <v>39</v>
      </c>
      <c r="C5" t="s">
        <v>40</v>
      </c>
      <c r="D5" t="s">
        <v>41</v>
      </c>
      <c r="E5" t="s">
        <v>42</v>
      </c>
      <c r="F5" t="s">
        <v>43</v>
      </c>
      <c r="G5" t="s">
        <v>35</v>
      </c>
      <c r="H5" t="s">
        <v>27</v>
      </c>
      <c r="I5" t="s">
        <v>44</v>
      </c>
      <c r="J5" t="s">
        <v>45</v>
      </c>
    </row>
    <row r="6" spans="1:10" x14ac:dyDescent="0.35">
      <c r="A6" t="s">
        <v>46</v>
      </c>
      <c r="B6" t="s">
        <v>47</v>
      </c>
      <c r="C6" t="s">
        <v>48</v>
      </c>
      <c r="D6" t="s">
        <v>49</v>
      </c>
      <c r="E6" t="s">
        <v>50</v>
      </c>
      <c r="F6" t="s">
        <v>51</v>
      </c>
      <c r="G6" t="s">
        <v>52</v>
      </c>
      <c r="H6" t="s">
        <v>53</v>
      </c>
      <c r="I6" t="s">
        <v>18</v>
      </c>
      <c r="J6" t="s">
        <v>37</v>
      </c>
    </row>
    <row r="7" spans="1:10" x14ac:dyDescent="0.35">
      <c r="A7" t="s">
        <v>54</v>
      </c>
      <c r="B7" t="s">
        <v>21</v>
      </c>
      <c r="C7" t="s">
        <v>55</v>
      </c>
      <c r="D7" t="s">
        <v>56</v>
      </c>
      <c r="E7" t="s">
        <v>57</v>
      </c>
      <c r="F7" t="s">
        <v>58</v>
      </c>
      <c r="G7" t="s">
        <v>59</v>
      </c>
      <c r="H7" t="s">
        <v>60</v>
      </c>
      <c r="I7" t="s">
        <v>36</v>
      </c>
      <c r="J7" t="s">
        <v>61</v>
      </c>
    </row>
    <row r="8" spans="1:10" x14ac:dyDescent="0.35">
      <c r="A8" t="s">
        <v>62</v>
      </c>
      <c r="B8" t="s">
        <v>11</v>
      </c>
      <c r="C8" t="s">
        <v>22</v>
      </c>
      <c r="D8" t="s">
        <v>63</v>
      </c>
      <c r="E8" t="s">
        <v>64</v>
      </c>
      <c r="F8" t="s">
        <v>65</v>
      </c>
      <c r="G8" t="s">
        <v>66</v>
      </c>
      <c r="H8" t="s">
        <v>67</v>
      </c>
      <c r="I8" t="s">
        <v>68</v>
      </c>
      <c r="J8" t="s">
        <v>28</v>
      </c>
    </row>
    <row r="9" spans="1:10" x14ac:dyDescent="0.35">
      <c r="A9" t="s">
        <v>69</v>
      </c>
      <c r="B9" t="s">
        <v>30</v>
      </c>
      <c r="C9" t="s">
        <v>31</v>
      </c>
      <c r="D9" t="s">
        <v>70</v>
      </c>
      <c r="E9" t="s">
        <v>71</v>
      </c>
      <c r="F9" t="s">
        <v>72</v>
      </c>
      <c r="G9" t="s">
        <v>35</v>
      </c>
      <c r="H9" t="s">
        <v>73</v>
      </c>
      <c r="I9" t="s">
        <v>74</v>
      </c>
      <c r="J9" t="s">
        <v>37</v>
      </c>
    </row>
    <row r="10" spans="1:10" x14ac:dyDescent="0.35">
      <c r="A10" t="s">
        <v>75</v>
      </c>
      <c r="B10" t="s">
        <v>21</v>
      </c>
      <c r="C10" t="s">
        <v>76</v>
      </c>
      <c r="D10" t="s">
        <v>77</v>
      </c>
      <c r="E10" t="s">
        <v>78</v>
      </c>
      <c r="F10" t="s">
        <v>79</v>
      </c>
      <c r="G10" t="s">
        <v>66</v>
      </c>
      <c r="H10" t="s">
        <v>80</v>
      </c>
      <c r="I10" t="s">
        <v>74</v>
      </c>
      <c r="J10" t="s">
        <v>19</v>
      </c>
    </row>
    <row r="11" spans="1:10" x14ac:dyDescent="0.35">
      <c r="A11" t="s">
        <v>81</v>
      </c>
      <c r="B11" t="s">
        <v>82</v>
      </c>
      <c r="C11" t="s">
        <v>31</v>
      </c>
      <c r="D11" t="s">
        <v>83</v>
      </c>
      <c r="E11" t="s">
        <v>84</v>
      </c>
      <c r="F11" t="s">
        <v>85</v>
      </c>
      <c r="G11" t="s">
        <v>86</v>
      </c>
      <c r="H11" t="s">
        <v>17</v>
      </c>
      <c r="I11" t="s">
        <v>3</v>
      </c>
      <c r="J11" t="s">
        <v>28</v>
      </c>
    </row>
    <row r="12" spans="1:10" x14ac:dyDescent="0.35">
      <c r="A12" t="s">
        <v>87</v>
      </c>
      <c r="B12" t="s">
        <v>47</v>
      </c>
      <c r="C12" t="s">
        <v>55</v>
      </c>
      <c r="D12" t="s">
        <v>88</v>
      </c>
      <c r="E12" t="s">
        <v>89</v>
      </c>
      <c r="F12" t="s">
        <v>90</v>
      </c>
      <c r="G12" t="s">
        <v>35</v>
      </c>
      <c r="H12" t="s">
        <v>27</v>
      </c>
      <c r="I12" t="s">
        <v>18</v>
      </c>
      <c r="J12" t="s">
        <v>28</v>
      </c>
    </row>
    <row r="13" spans="1:10" x14ac:dyDescent="0.35">
      <c r="A13" t="s">
        <v>91</v>
      </c>
      <c r="B13" t="s">
        <v>92</v>
      </c>
      <c r="C13" t="s">
        <v>93</v>
      </c>
      <c r="D13" t="s">
        <v>94</v>
      </c>
      <c r="E13" t="s">
        <v>95</v>
      </c>
      <c r="F13" t="s">
        <v>96</v>
      </c>
      <c r="G13" t="s">
        <v>97</v>
      </c>
      <c r="H13" t="s">
        <v>17</v>
      </c>
      <c r="I13" t="s">
        <v>98</v>
      </c>
      <c r="J13" t="s">
        <v>28</v>
      </c>
    </row>
    <row r="14" spans="1:10" x14ac:dyDescent="0.35">
      <c r="A14" t="s">
        <v>99</v>
      </c>
      <c r="B14" t="s">
        <v>21</v>
      </c>
      <c r="C14" t="s">
        <v>93</v>
      </c>
      <c r="D14" t="s">
        <v>100</v>
      </c>
      <c r="E14" t="s">
        <v>57</v>
      </c>
      <c r="F14" t="s">
        <v>101</v>
      </c>
      <c r="G14" t="s">
        <v>66</v>
      </c>
      <c r="H14" t="s">
        <v>17</v>
      </c>
      <c r="I14" t="s">
        <v>36</v>
      </c>
      <c r="J14" t="s">
        <v>45</v>
      </c>
    </row>
    <row r="15" spans="1:10" x14ac:dyDescent="0.35">
      <c r="A15" t="s">
        <v>102</v>
      </c>
      <c r="B15" t="s">
        <v>103</v>
      </c>
      <c r="C15" t="s">
        <v>48</v>
      </c>
      <c r="D15" t="s">
        <v>104</v>
      </c>
      <c r="E15" t="s">
        <v>105</v>
      </c>
      <c r="F15" t="s">
        <v>106</v>
      </c>
      <c r="G15" t="s">
        <v>66</v>
      </c>
      <c r="H15" t="s">
        <v>73</v>
      </c>
      <c r="I15" t="s">
        <v>44</v>
      </c>
      <c r="J15" t="s">
        <v>28</v>
      </c>
    </row>
    <row r="16" spans="1:10" x14ac:dyDescent="0.35">
      <c r="A16" t="s">
        <v>107</v>
      </c>
      <c r="B16" t="s">
        <v>21</v>
      </c>
      <c r="C16" t="s">
        <v>22</v>
      </c>
      <c r="D16" t="s">
        <v>108</v>
      </c>
      <c r="E16" t="s">
        <v>57</v>
      </c>
      <c r="F16" t="s">
        <v>109</v>
      </c>
      <c r="G16" t="s">
        <v>66</v>
      </c>
      <c r="H16" t="s">
        <v>17</v>
      </c>
      <c r="I16" t="s">
        <v>3</v>
      </c>
      <c r="J16" t="s">
        <v>37</v>
      </c>
    </row>
    <row r="17" spans="1:10" x14ac:dyDescent="0.35">
      <c r="A17" t="s">
        <v>110</v>
      </c>
      <c r="B17" t="s">
        <v>11</v>
      </c>
      <c r="C17" t="s">
        <v>76</v>
      </c>
      <c r="D17" t="s">
        <v>111</v>
      </c>
      <c r="E17" t="s">
        <v>112</v>
      </c>
      <c r="F17" t="s">
        <v>113</v>
      </c>
      <c r="G17" t="s">
        <v>114</v>
      </c>
      <c r="H17" t="s">
        <v>27</v>
      </c>
      <c r="I17" t="s">
        <v>98</v>
      </c>
      <c r="J17" t="s">
        <v>61</v>
      </c>
    </row>
    <row r="18" spans="1:10" x14ac:dyDescent="0.35">
      <c r="A18" t="s">
        <v>115</v>
      </c>
      <c r="B18" t="s">
        <v>47</v>
      </c>
      <c r="C18" t="s">
        <v>12</v>
      </c>
      <c r="D18" t="s">
        <v>116</v>
      </c>
      <c r="E18" t="s">
        <v>50</v>
      </c>
      <c r="F18" t="s">
        <v>117</v>
      </c>
      <c r="G18" t="s">
        <v>52</v>
      </c>
      <c r="H18" t="s">
        <v>60</v>
      </c>
      <c r="I18" t="s">
        <v>98</v>
      </c>
      <c r="J18" t="s">
        <v>45</v>
      </c>
    </row>
    <row r="19" spans="1:10" x14ac:dyDescent="0.35">
      <c r="A19" t="s">
        <v>118</v>
      </c>
      <c r="B19" t="s">
        <v>11</v>
      </c>
      <c r="C19" t="s">
        <v>119</v>
      </c>
      <c r="D19" t="s">
        <v>120</v>
      </c>
      <c r="E19" t="s">
        <v>14</v>
      </c>
      <c r="F19" t="s">
        <v>121</v>
      </c>
      <c r="G19" t="s">
        <v>97</v>
      </c>
      <c r="H19" t="s">
        <v>67</v>
      </c>
      <c r="I19" t="s">
        <v>74</v>
      </c>
      <c r="J19" t="s">
        <v>19</v>
      </c>
    </row>
    <row r="20" spans="1:10" x14ac:dyDescent="0.35">
      <c r="A20" t="s">
        <v>122</v>
      </c>
      <c r="B20" t="s">
        <v>11</v>
      </c>
      <c r="C20" t="s">
        <v>40</v>
      </c>
      <c r="D20" t="s">
        <v>123</v>
      </c>
      <c r="E20" t="s">
        <v>112</v>
      </c>
      <c r="F20" t="s">
        <v>124</v>
      </c>
      <c r="G20" t="s">
        <v>35</v>
      </c>
      <c r="H20" t="s">
        <v>60</v>
      </c>
      <c r="I20" t="s">
        <v>125</v>
      </c>
      <c r="J20" t="s">
        <v>45</v>
      </c>
    </row>
    <row r="21" spans="1:10" x14ac:dyDescent="0.35">
      <c r="A21" t="s">
        <v>126</v>
      </c>
      <c r="B21" t="s">
        <v>21</v>
      </c>
      <c r="C21" t="s">
        <v>55</v>
      </c>
      <c r="D21" t="s">
        <v>127</v>
      </c>
      <c r="E21" t="s">
        <v>78</v>
      </c>
      <c r="F21" t="s">
        <v>128</v>
      </c>
      <c r="G21" t="s">
        <v>66</v>
      </c>
      <c r="H21" t="s">
        <v>129</v>
      </c>
      <c r="I21" t="s">
        <v>44</v>
      </c>
      <c r="J21" t="s">
        <v>37</v>
      </c>
    </row>
    <row r="22" spans="1:10" x14ac:dyDescent="0.35">
      <c r="A22" t="s">
        <v>130</v>
      </c>
      <c r="B22" t="s">
        <v>47</v>
      </c>
      <c r="C22" t="s">
        <v>76</v>
      </c>
      <c r="D22" t="s">
        <v>131</v>
      </c>
      <c r="E22" t="s">
        <v>50</v>
      </c>
      <c r="F22" t="s">
        <v>132</v>
      </c>
      <c r="G22" t="s">
        <v>86</v>
      </c>
      <c r="H22" t="s">
        <v>17</v>
      </c>
      <c r="I22" t="s">
        <v>18</v>
      </c>
      <c r="J22" t="s">
        <v>61</v>
      </c>
    </row>
    <row r="23" spans="1:10" x14ac:dyDescent="0.35">
      <c r="A23" t="s">
        <v>133</v>
      </c>
      <c r="B23" t="s">
        <v>103</v>
      </c>
      <c r="C23" t="s">
        <v>31</v>
      </c>
      <c r="D23" t="s">
        <v>134</v>
      </c>
      <c r="E23" t="s">
        <v>105</v>
      </c>
      <c r="F23" t="s">
        <v>135</v>
      </c>
      <c r="G23" t="s">
        <v>66</v>
      </c>
      <c r="H23" t="s">
        <v>129</v>
      </c>
      <c r="I23" t="s">
        <v>98</v>
      </c>
      <c r="J23" t="s">
        <v>136</v>
      </c>
    </row>
    <row r="24" spans="1:10" x14ac:dyDescent="0.35">
      <c r="A24" t="s">
        <v>137</v>
      </c>
      <c r="B24" t="s">
        <v>138</v>
      </c>
      <c r="C24" t="s">
        <v>48</v>
      </c>
      <c r="D24" t="s">
        <v>139</v>
      </c>
      <c r="E24" t="s">
        <v>140</v>
      </c>
      <c r="F24" t="s">
        <v>141</v>
      </c>
      <c r="G24" t="s">
        <v>26</v>
      </c>
      <c r="H24" t="s">
        <v>73</v>
      </c>
      <c r="I24" t="s">
        <v>68</v>
      </c>
      <c r="J24" t="s">
        <v>136</v>
      </c>
    </row>
    <row r="25" spans="1:10" x14ac:dyDescent="0.35">
      <c r="A25" t="s">
        <v>142</v>
      </c>
      <c r="B25" t="s">
        <v>143</v>
      </c>
      <c r="C25" t="s">
        <v>31</v>
      </c>
      <c r="D25" t="s">
        <v>144</v>
      </c>
      <c r="E25" t="s">
        <v>145</v>
      </c>
      <c r="F25" t="s">
        <v>146</v>
      </c>
      <c r="G25" t="s">
        <v>35</v>
      </c>
      <c r="H25" t="s">
        <v>67</v>
      </c>
      <c r="I25" t="s">
        <v>68</v>
      </c>
      <c r="J25" t="s">
        <v>61</v>
      </c>
    </row>
    <row r="26" spans="1:10" x14ac:dyDescent="0.35">
      <c r="A26" t="s">
        <v>147</v>
      </c>
      <c r="B26" t="s">
        <v>92</v>
      </c>
      <c r="C26" t="s">
        <v>76</v>
      </c>
      <c r="D26" t="s">
        <v>148</v>
      </c>
      <c r="E26" t="s">
        <v>95</v>
      </c>
      <c r="F26" t="s">
        <v>149</v>
      </c>
      <c r="G26" t="s">
        <v>86</v>
      </c>
      <c r="H26" t="s">
        <v>129</v>
      </c>
      <c r="I26" t="s">
        <v>74</v>
      </c>
      <c r="J26" t="s">
        <v>61</v>
      </c>
    </row>
    <row r="27" spans="1:10" x14ac:dyDescent="0.35">
      <c r="A27" t="s">
        <v>150</v>
      </c>
      <c r="B27" t="s">
        <v>30</v>
      </c>
      <c r="C27" t="s">
        <v>76</v>
      </c>
      <c r="D27" t="s">
        <v>151</v>
      </c>
      <c r="E27" t="s">
        <v>152</v>
      </c>
      <c r="F27" t="s">
        <v>153</v>
      </c>
      <c r="G27" t="s">
        <v>35</v>
      </c>
      <c r="H27" t="s">
        <v>67</v>
      </c>
      <c r="I27" t="s">
        <v>68</v>
      </c>
      <c r="J27" t="s">
        <v>136</v>
      </c>
    </row>
    <row r="28" spans="1:10" x14ac:dyDescent="0.35">
      <c r="A28" t="s">
        <v>154</v>
      </c>
      <c r="B28" t="s">
        <v>143</v>
      </c>
      <c r="C28" t="s">
        <v>40</v>
      </c>
      <c r="D28" t="s">
        <v>155</v>
      </c>
      <c r="E28" t="s">
        <v>156</v>
      </c>
      <c r="F28" t="s">
        <v>157</v>
      </c>
      <c r="G28" t="s">
        <v>158</v>
      </c>
      <c r="H28" t="s">
        <v>53</v>
      </c>
      <c r="I28" t="s">
        <v>68</v>
      </c>
      <c r="J28" t="s">
        <v>28</v>
      </c>
    </row>
    <row r="29" spans="1:10" x14ac:dyDescent="0.35">
      <c r="A29" t="s">
        <v>159</v>
      </c>
      <c r="B29" t="s">
        <v>47</v>
      </c>
      <c r="C29" t="s">
        <v>160</v>
      </c>
      <c r="D29" t="s">
        <v>161</v>
      </c>
      <c r="E29" t="s">
        <v>50</v>
      </c>
      <c r="F29" t="s">
        <v>162</v>
      </c>
      <c r="G29" t="s">
        <v>16</v>
      </c>
      <c r="H29" t="s">
        <v>27</v>
      </c>
      <c r="I29" t="s">
        <v>18</v>
      </c>
      <c r="J29" t="s">
        <v>136</v>
      </c>
    </row>
    <row r="30" spans="1:10" x14ac:dyDescent="0.35">
      <c r="A30" t="s">
        <v>163</v>
      </c>
      <c r="B30" t="s">
        <v>21</v>
      </c>
      <c r="C30" t="s">
        <v>76</v>
      </c>
      <c r="D30" t="s">
        <v>164</v>
      </c>
      <c r="E30" t="s">
        <v>78</v>
      </c>
      <c r="F30" t="s">
        <v>165</v>
      </c>
      <c r="G30" t="s">
        <v>35</v>
      </c>
      <c r="H30" t="s">
        <v>60</v>
      </c>
      <c r="I30" t="s">
        <v>18</v>
      </c>
      <c r="J30" t="s">
        <v>45</v>
      </c>
    </row>
    <row r="31" spans="1:10" x14ac:dyDescent="0.35">
      <c r="A31" t="s">
        <v>166</v>
      </c>
      <c r="B31" t="s">
        <v>92</v>
      </c>
      <c r="C31" t="s">
        <v>93</v>
      </c>
      <c r="D31" t="s">
        <v>167</v>
      </c>
      <c r="E31" t="s">
        <v>168</v>
      </c>
      <c r="F31" t="s">
        <v>169</v>
      </c>
      <c r="G31" t="s">
        <v>86</v>
      </c>
      <c r="H31" t="s">
        <v>53</v>
      </c>
      <c r="I31" t="s">
        <v>44</v>
      </c>
      <c r="J31" t="s">
        <v>136</v>
      </c>
    </row>
    <row r="32" spans="1:10" x14ac:dyDescent="0.35">
      <c r="A32" t="s">
        <v>170</v>
      </c>
      <c r="B32" t="s">
        <v>11</v>
      </c>
      <c r="C32" t="s">
        <v>22</v>
      </c>
      <c r="D32" t="s">
        <v>171</v>
      </c>
      <c r="E32" t="s">
        <v>172</v>
      </c>
      <c r="F32" t="s">
        <v>173</v>
      </c>
      <c r="G32" t="s">
        <v>35</v>
      </c>
      <c r="H32" t="s">
        <v>53</v>
      </c>
      <c r="I32" t="s">
        <v>98</v>
      </c>
      <c r="J32" t="s">
        <v>45</v>
      </c>
    </row>
    <row r="33" spans="1:10" x14ac:dyDescent="0.35">
      <c r="A33" t="s">
        <v>174</v>
      </c>
      <c r="B33" t="s">
        <v>47</v>
      </c>
      <c r="C33" t="s">
        <v>31</v>
      </c>
      <c r="D33" t="s">
        <v>175</v>
      </c>
      <c r="E33" t="s">
        <v>89</v>
      </c>
      <c r="F33" t="s">
        <v>176</v>
      </c>
      <c r="G33" t="s">
        <v>59</v>
      </c>
      <c r="H33" t="s">
        <v>80</v>
      </c>
      <c r="I33" t="s">
        <v>44</v>
      </c>
      <c r="J33" t="s">
        <v>19</v>
      </c>
    </row>
    <row r="34" spans="1:10" x14ac:dyDescent="0.35">
      <c r="A34" t="s">
        <v>177</v>
      </c>
      <c r="B34" t="s">
        <v>39</v>
      </c>
      <c r="C34" t="s">
        <v>40</v>
      </c>
      <c r="D34" t="s">
        <v>178</v>
      </c>
      <c r="E34" t="s">
        <v>179</v>
      </c>
      <c r="F34" t="s">
        <v>180</v>
      </c>
      <c r="G34" t="s">
        <v>158</v>
      </c>
      <c r="H34" t="s">
        <v>60</v>
      </c>
      <c r="I34" t="s">
        <v>36</v>
      </c>
      <c r="J34" t="s">
        <v>19</v>
      </c>
    </row>
    <row r="35" spans="1:10" x14ac:dyDescent="0.35">
      <c r="A35" t="s">
        <v>181</v>
      </c>
      <c r="B35" t="s">
        <v>21</v>
      </c>
      <c r="C35" t="s">
        <v>48</v>
      </c>
      <c r="D35" t="s">
        <v>182</v>
      </c>
      <c r="E35" t="s">
        <v>78</v>
      </c>
      <c r="F35" t="s">
        <v>183</v>
      </c>
      <c r="G35" t="s">
        <v>86</v>
      </c>
      <c r="H35" t="s">
        <v>129</v>
      </c>
      <c r="I35" t="s">
        <v>68</v>
      </c>
      <c r="J35" t="s">
        <v>28</v>
      </c>
    </row>
    <row r="36" spans="1:10" x14ac:dyDescent="0.35">
      <c r="A36" t="s">
        <v>184</v>
      </c>
      <c r="B36" t="s">
        <v>143</v>
      </c>
      <c r="C36" t="s">
        <v>22</v>
      </c>
      <c r="D36" t="s">
        <v>185</v>
      </c>
      <c r="E36" t="s">
        <v>156</v>
      </c>
      <c r="F36" t="s">
        <v>186</v>
      </c>
      <c r="G36" t="s">
        <v>158</v>
      </c>
      <c r="H36" t="s">
        <v>60</v>
      </c>
      <c r="I36" t="s">
        <v>18</v>
      </c>
      <c r="J36" t="s">
        <v>136</v>
      </c>
    </row>
    <row r="37" spans="1:10" x14ac:dyDescent="0.35">
      <c r="A37" t="s">
        <v>187</v>
      </c>
      <c r="B37" t="s">
        <v>82</v>
      </c>
      <c r="C37" t="s">
        <v>48</v>
      </c>
      <c r="D37" t="s">
        <v>188</v>
      </c>
      <c r="E37" t="s">
        <v>189</v>
      </c>
      <c r="F37" t="s">
        <v>190</v>
      </c>
      <c r="G37" t="s">
        <v>35</v>
      </c>
      <c r="H37" t="s">
        <v>73</v>
      </c>
      <c r="I37" t="s">
        <v>36</v>
      </c>
      <c r="J37" t="s">
        <v>45</v>
      </c>
    </row>
    <row r="38" spans="1:10" x14ac:dyDescent="0.35">
      <c r="A38" t="s">
        <v>191</v>
      </c>
      <c r="B38" t="s">
        <v>143</v>
      </c>
      <c r="C38" t="s">
        <v>76</v>
      </c>
      <c r="D38" t="s">
        <v>192</v>
      </c>
      <c r="E38" t="s">
        <v>193</v>
      </c>
      <c r="F38" t="s">
        <v>194</v>
      </c>
      <c r="G38" t="s">
        <v>59</v>
      </c>
      <c r="H38" t="s">
        <v>53</v>
      </c>
      <c r="I38" t="s">
        <v>98</v>
      </c>
      <c r="J38" t="s">
        <v>19</v>
      </c>
    </row>
    <row r="39" spans="1:10" x14ac:dyDescent="0.35">
      <c r="A39" t="s">
        <v>195</v>
      </c>
      <c r="B39" t="s">
        <v>92</v>
      </c>
      <c r="C39" t="s">
        <v>48</v>
      </c>
      <c r="D39" t="s">
        <v>196</v>
      </c>
      <c r="E39" t="s">
        <v>197</v>
      </c>
      <c r="F39" t="s">
        <v>198</v>
      </c>
      <c r="G39" t="s">
        <v>35</v>
      </c>
      <c r="H39" t="s">
        <v>17</v>
      </c>
      <c r="I39" t="s">
        <v>74</v>
      </c>
      <c r="J39" t="s">
        <v>37</v>
      </c>
    </row>
    <row r="40" spans="1:10" x14ac:dyDescent="0.35">
      <c r="A40" t="s">
        <v>199</v>
      </c>
      <c r="B40" t="s">
        <v>47</v>
      </c>
      <c r="C40" t="s">
        <v>48</v>
      </c>
      <c r="D40" t="s">
        <v>200</v>
      </c>
      <c r="E40" t="s">
        <v>89</v>
      </c>
      <c r="F40" t="s">
        <v>201</v>
      </c>
      <c r="G40" t="s">
        <v>158</v>
      </c>
      <c r="H40" t="s">
        <v>67</v>
      </c>
      <c r="I40" t="s">
        <v>3</v>
      </c>
      <c r="J40" t="s">
        <v>28</v>
      </c>
    </row>
    <row r="41" spans="1:10" x14ac:dyDescent="0.35">
      <c r="A41" t="s">
        <v>202</v>
      </c>
      <c r="B41" t="s">
        <v>138</v>
      </c>
      <c r="C41" t="s">
        <v>93</v>
      </c>
      <c r="D41" t="s">
        <v>203</v>
      </c>
      <c r="E41" t="s">
        <v>204</v>
      </c>
      <c r="F41" t="s">
        <v>205</v>
      </c>
      <c r="G41" t="s">
        <v>86</v>
      </c>
      <c r="H41" t="s">
        <v>80</v>
      </c>
      <c r="I41" t="s">
        <v>68</v>
      </c>
      <c r="J41" t="s">
        <v>136</v>
      </c>
    </row>
    <row r="42" spans="1:10" x14ac:dyDescent="0.35">
      <c r="A42" t="s">
        <v>206</v>
      </c>
      <c r="B42" t="s">
        <v>138</v>
      </c>
      <c r="C42" t="s">
        <v>55</v>
      </c>
      <c r="D42" t="s">
        <v>207</v>
      </c>
      <c r="E42" t="s">
        <v>208</v>
      </c>
      <c r="F42" t="s">
        <v>209</v>
      </c>
      <c r="G42" t="s">
        <v>52</v>
      </c>
      <c r="H42" t="s">
        <v>67</v>
      </c>
      <c r="I42" t="s">
        <v>125</v>
      </c>
      <c r="J42" t="s">
        <v>37</v>
      </c>
    </row>
    <row r="43" spans="1:10" x14ac:dyDescent="0.35">
      <c r="A43" t="s">
        <v>210</v>
      </c>
      <c r="B43" t="s">
        <v>47</v>
      </c>
      <c r="C43" t="s">
        <v>48</v>
      </c>
      <c r="D43" t="s">
        <v>211</v>
      </c>
      <c r="E43" t="s">
        <v>89</v>
      </c>
      <c r="F43" t="s">
        <v>212</v>
      </c>
      <c r="G43" t="s">
        <v>16</v>
      </c>
      <c r="H43" t="s">
        <v>129</v>
      </c>
      <c r="I43" t="s">
        <v>18</v>
      </c>
      <c r="J43" t="s">
        <v>28</v>
      </c>
    </row>
    <row r="44" spans="1:10" x14ac:dyDescent="0.35">
      <c r="A44" t="s">
        <v>213</v>
      </c>
      <c r="B44" t="s">
        <v>82</v>
      </c>
      <c r="C44" t="s">
        <v>76</v>
      </c>
      <c r="D44" t="s">
        <v>214</v>
      </c>
      <c r="E44" t="s">
        <v>84</v>
      </c>
      <c r="F44" t="s">
        <v>215</v>
      </c>
      <c r="G44" t="s">
        <v>86</v>
      </c>
      <c r="H44" t="s">
        <v>129</v>
      </c>
      <c r="I44" t="s">
        <v>74</v>
      </c>
      <c r="J44" t="s">
        <v>28</v>
      </c>
    </row>
    <row r="45" spans="1:10" x14ac:dyDescent="0.35">
      <c r="A45" t="s">
        <v>216</v>
      </c>
      <c r="B45" t="s">
        <v>92</v>
      </c>
      <c r="C45" t="s">
        <v>160</v>
      </c>
      <c r="D45" t="s">
        <v>217</v>
      </c>
      <c r="E45" t="s">
        <v>197</v>
      </c>
      <c r="F45" t="s">
        <v>218</v>
      </c>
      <c r="G45" t="s">
        <v>158</v>
      </c>
      <c r="H45" t="s">
        <v>80</v>
      </c>
      <c r="I45" t="s">
        <v>3</v>
      </c>
      <c r="J45" t="s">
        <v>61</v>
      </c>
    </row>
    <row r="46" spans="1:10" x14ac:dyDescent="0.35">
      <c r="A46" t="s">
        <v>219</v>
      </c>
      <c r="B46" t="s">
        <v>39</v>
      </c>
      <c r="C46" t="s">
        <v>76</v>
      </c>
      <c r="D46" t="s">
        <v>220</v>
      </c>
      <c r="E46" t="s">
        <v>221</v>
      </c>
      <c r="F46" t="s">
        <v>222</v>
      </c>
      <c r="G46" t="s">
        <v>114</v>
      </c>
      <c r="H46" t="s">
        <v>60</v>
      </c>
      <c r="I46" t="s">
        <v>36</v>
      </c>
      <c r="J46" t="s">
        <v>19</v>
      </c>
    </row>
    <row r="47" spans="1:10" x14ac:dyDescent="0.35">
      <c r="A47" t="s">
        <v>223</v>
      </c>
      <c r="B47" t="s">
        <v>138</v>
      </c>
      <c r="C47" t="s">
        <v>55</v>
      </c>
      <c r="D47" t="s">
        <v>224</v>
      </c>
      <c r="E47" t="s">
        <v>140</v>
      </c>
      <c r="F47" t="s">
        <v>225</v>
      </c>
      <c r="G47" t="s">
        <v>114</v>
      </c>
      <c r="H47" t="s">
        <v>60</v>
      </c>
      <c r="I47" t="s">
        <v>98</v>
      </c>
      <c r="J47" t="s">
        <v>37</v>
      </c>
    </row>
    <row r="48" spans="1:10" x14ac:dyDescent="0.35">
      <c r="A48" t="s">
        <v>226</v>
      </c>
      <c r="B48" t="s">
        <v>21</v>
      </c>
      <c r="C48" t="s">
        <v>76</v>
      </c>
      <c r="D48" t="s">
        <v>227</v>
      </c>
      <c r="E48" t="s">
        <v>57</v>
      </c>
      <c r="F48" t="s">
        <v>228</v>
      </c>
      <c r="G48" t="s">
        <v>52</v>
      </c>
      <c r="H48" t="s">
        <v>17</v>
      </c>
      <c r="I48" t="s">
        <v>18</v>
      </c>
      <c r="J48" t="s">
        <v>45</v>
      </c>
    </row>
    <row r="49" spans="1:10" x14ac:dyDescent="0.35">
      <c r="A49" t="s">
        <v>229</v>
      </c>
      <c r="B49" t="s">
        <v>11</v>
      </c>
      <c r="C49" t="s">
        <v>160</v>
      </c>
      <c r="D49" t="s">
        <v>230</v>
      </c>
      <c r="E49" t="s">
        <v>172</v>
      </c>
      <c r="F49" t="s">
        <v>231</v>
      </c>
      <c r="G49" t="s">
        <v>66</v>
      </c>
      <c r="H49" t="s">
        <v>80</v>
      </c>
      <c r="I49" t="s">
        <v>44</v>
      </c>
      <c r="J49" t="s">
        <v>37</v>
      </c>
    </row>
    <row r="50" spans="1:10" x14ac:dyDescent="0.35">
      <c r="A50" t="s">
        <v>232</v>
      </c>
      <c r="B50" t="s">
        <v>11</v>
      </c>
      <c r="C50" t="s">
        <v>76</v>
      </c>
      <c r="D50" t="s">
        <v>233</v>
      </c>
      <c r="E50" t="s">
        <v>14</v>
      </c>
      <c r="F50" t="s">
        <v>234</v>
      </c>
      <c r="G50" t="s">
        <v>86</v>
      </c>
      <c r="H50" t="s">
        <v>17</v>
      </c>
      <c r="I50" t="s">
        <v>68</v>
      </c>
      <c r="J50" t="s">
        <v>136</v>
      </c>
    </row>
    <row r="51" spans="1:10" x14ac:dyDescent="0.35">
      <c r="A51" t="s">
        <v>235</v>
      </c>
      <c r="B51" t="s">
        <v>47</v>
      </c>
      <c r="C51" t="s">
        <v>48</v>
      </c>
      <c r="D51" t="s">
        <v>236</v>
      </c>
      <c r="E51" t="s">
        <v>50</v>
      </c>
      <c r="F51" t="s">
        <v>237</v>
      </c>
      <c r="G51" t="s">
        <v>86</v>
      </c>
      <c r="H51" t="s">
        <v>73</v>
      </c>
      <c r="I51" t="s">
        <v>44</v>
      </c>
      <c r="J51" t="s">
        <v>61</v>
      </c>
    </row>
    <row r="52" spans="1:10" x14ac:dyDescent="0.35">
      <c r="A52" t="s">
        <v>238</v>
      </c>
      <c r="B52" t="s">
        <v>39</v>
      </c>
      <c r="C52" t="s">
        <v>48</v>
      </c>
      <c r="D52" t="s">
        <v>239</v>
      </c>
      <c r="E52" t="s">
        <v>240</v>
      </c>
      <c r="F52" t="s">
        <v>241</v>
      </c>
      <c r="G52" t="s">
        <v>35</v>
      </c>
      <c r="H52" t="s">
        <v>129</v>
      </c>
      <c r="I52" t="s">
        <v>68</v>
      </c>
      <c r="J52" t="s">
        <v>45</v>
      </c>
    </row>
    <row r="53" spans="1:10" x14ac:dyDescent="0.35">
      <c r="A53" t="s">
        <v>242</v>
      </c>
      <c r="B53" t="s">
        <v>11</v>
      </c>
      <c r="C53" t="s">
        <v>119</v>
      </c>
      <c r="D53" t="s">
        <v>243</v>
      </c>
      <c r="E53" t="s">
        <v>14</v>
      </c>
      <c r="F53" t="s">
        <v>244</v>
      </c>
      <c r="G53" t="s">
        <v>16</v>
      </c>
      <c r="H53" t="s">
        <v>60</v>
      </c>
      <c r="I53" t="s">
        <v>68</v>
      </c>
      <c r="J53" t="s">
        <v>28</v>
      </c>
    </row>
    <row r="54" spans="1:10" x14ac:dyDescent="0.35">
      <c r="A54" t="s">
        <v>245</v>
      </c>
      <c r="B54" t="s">
        <v>39</v>
      </c>
      <c r="C54" t="s">
        <v>76</v>
      </c>
      <c r="D54" t="s">
        <v>246</v>
      </c>
      <c r="E54" t="s">
        <v>42</v>
      </c>
      <c r="F54" t="s">
        <v>247</v>
      </c>
      <c r="G54" t="s">
        <v>97</v>
      </c>
      <c r="H54" t="s">
        <v>17</v>
      </c>
      <c r="I54" t="s">
        <v>68</v>
      </c>
      <c r="J54" t="s">
        <v>136</v>
      </c>
    </row>
    <row r="55" spans="1:10" x14ac:dyDescent="0.35">
      <c r="A55" t="s">
        <v>248</v>
      </c>
      <c r="B55" t="s">
        <v>39</v>
      </c>
      <c r="C55" t="s">
        <v>31</v>
      </c>
      <c r="D55" t="s">
        <v>249</v>
      </c>
      <c r="E55" t="s">
        <v>221</v>
      </c>
      <c r="F55" t="s">
        <v>250</v>
      </c>
      <c r="G55" t="s">
        <v>26</v>
      </c>
      <c r="H55" t="s">
        <v>129</v>
      </c>
      <c r="I55" t="s">
        <v>125</v>
      </c>
      <c r="J55" t="s">
        <v>19</v>
      </c>
    </row>
    <row r="56" spans="1:10" x14ac:dyDescent="0.35">
      <c r="A56" t="s">
        <v>251</v>
      </c>
      <c r="B56" t="s">
        <v>103</v>
      </c>
      <c r="C56" t="s">
        <v>76</v>
      </c>
      <c r="D56" t="s">
        <v>252</v>
      </c>
      <c r="E56" t="s">
        <v>253</v>
      </c>
      <c r="F56" t="s">
        <v>254</v>
      </c>
      <c r="G56" t="s">
        <v>35</v>
      </c>
      <c r="H56" t="s">
        <v>27</v>
      </c>
      <c r="I56" t="s">
        <v>18</v>
      </c>
      <c r="J56" t="s">
        <v>37</v>
      </c>
    </row>
    <row r="57" spans="1:10" x14ac:dyDescent="0.35">
      <c r="A57" t="s">
        <v>255</v>
      </c>
      <c r="B57" t="s">
        <v>11</v>
      </c>
      <c r="C57" t="s">
        <v>22</v>
      </c>
      <c r="D57" t="s">
        <v>256</v>
      </c>
      <c r="E57" t="s">
        <v>112</v>
      </c>
      <c r="F57" t="s">
        <v>257</v>
      </c>
      <c r="G57" t="s">
        <v>66</v>
      </c>
      <c r="H57" t="s">
        <v>129</v>
      </c>
      <c r="I57" t="s">
        <v>74</v>
      </c>
      <c r="J57" t="s">
        <v>28</v>
      </c>
    </row>
    <row r="58" spans="1:10" x14ac:dyDescent="0.35">
      <c r="A58" t="s">
        <v>258</v>
      </c>
      <c r="B58" t="s">
        <v>82</v>
      </c>
      <c r="C58" t="s">
        <v>119</v>
      </c>
      <c r="D58" t="s">
        <v>259</v>
      </c>
      <c r="E58" t="s">
        <v>189</v>
      </c>
      <c r="F58" t="s">
        <v>260</v>
      </c>
      <c r="G58" t="s">
        <v>59</v>
      </c>
      <c r="H58" t="s">
        <v>80</v>
      </c>
      <c r="I58" t="s">
        <v>74</v>
      </c>
      <c r="J58" t="s">
        <v>28</v>
      </c>
    </row>
    <row r="59" spans="1:10" x14ac:dyDescent="0.35">
      <c r="A59" t="s">
        <v>261</v>
      </c>
      <c r="B59" t="s">
        <v>21</v>
      </c>
      <c r="C59" t="s">
        <v>12</v>
      </c>
      <c r="D59" t="s">
        <v>262</v>
      </c>
      <c r="E59" t="s">
        <v>263</v>
      </c>
      <c r="F59" t="s">
        <v>264</v>
      </c>
      <c r="G59" t="s">
        <v>59</v>
      </c>
      <c r="H59" t="s">
        <v>129</v>
      </c>
      <c r="I59" t="s">
        <v>125</v>
      </c>
      <c r="J59" t="s">
        <v>45</v>
      </c>
    </row>
    <row r="60" spans="1:10" x14ac:dyDescent="0.35">
      <c r="A60" t="s">
        <v>265</v>
      </c>
      <c r="B60" t="s">
        <v>138</v>
      </c>
      <c r="C60" t="s">
        <v>22</v>
      </c>
      <c r="D60" t="s">
        <v>266</v>
      </c>
      <c r="E60" t="s">
        <v>208</v>
      </c>
      <c r="F60" t="s">
        <v>267</v>
      </c>
      <c r="G60" t="s">
        <v>97</v>
      </c>
      <c r="H60" t="s">
        <v>129</v>
      </c>
      <c r="I60" t="s">
        <v>44</v>
      </c>
      <c r="J60" t="s">
        <v>61</v>
      </c>
    </row>
    <row r="61" spans="1:10" x14ac:dyDescent="0.35">
      <c r="A61" t="s">
        <v>268</v>
      </c>
      <c r="B61" t="s">
        <v>82</v>
      </c>
      <c r="C61" t="s">
        <v>55</v>
      </c>
      <c r="D61" t="s">
        <v>269</v>
      </c>
      <c r="E61" t="s">
        <v>270</v>
      </c>
      <c r="F61" t="s">
        <v>271</v>
      </c>
      <c r="G61" t="s">
        <v>16</v>
      </c>
      <c r="H61" t="s">
        <v>129</v>
      </c>
      <c r="I61" t="s">
        <v>68</v>
      </c>
      <c r="J61" t="s">
        <v>28</v>
      </c>
    </row>
    <row r="62" spans="1:10" x14ac:dyDescent="0.35">
      <c r="A62" t="s">
        <v>272</v>
      </c>
      <c r="B62" t="s">
        <v>143</v>
      </c>
      <c r="C62" t="s">
        <v>31</v>
      </c>
      <c r="D62" t="s">
        <v>273</v>
      </c>
      <c r="E62" t="s">
        <v>193</v>
      </c>
      <c r="F62" t="s">
        <v>274</v>
      </c>
      <c r="G62" t="s">
        <v>66</v>
      </c>
      <c r="H62" t="s">
        <v>129</v>
      </c>
      <c r="I62" t="s">
        <v>18</v>
      </c>
      <c r="J62" t="s">
        <v>61</v>
      </c>
    </row>
    <row r="63" spans="1:10" x14ac:dyDescent="0.35">
      <c r="A63" t="s">
        <v>275</v>
      </c>
      <c r="B63" t="s">
        <v>92</v>
      </c>
      <c r="C63" t="s">
        <v>55</v>
      </c>
      <c r="D63" t="s">
        <v>276</v>
      </c>
      <c r="E63" t="s">
        <v>95</v>
      </c>
      <c r="F63" t="s">
        <v>277</v>
      </c>
      <c r="G63" t="s">
        <v>158</v>
      </c>
      <c r="H63" t="s">
        <v>67</v>
      </c>
      <c r="I63" t="s">
        <v>3</v>
      </c>
      <c r="J63" t="s">
        <v>136</v>
      </c>
    </row>
    <row r="64" spans="1:10" x14ac:dyDescent="0.35">
      <c r="A64" t="s">
        <v>278</v>
      </c>
      <c r="B64" t="s">
        <v>39</v>
      </c>
      <c r="C64" t="s">
        <v>22</v>
      </c>
      <c r="D64" t="s">
        <v>279</v>
      </c>
      <c r="E64" t="s">
        <v>42</v>
      </c>
      <c r="F64" t="s">
        <v>280</v>
      </c>
      <c r="G64" t="s">
        <v>158</v>
      </c>
      <c r="H64" t="s">
        <v>17</v>
      </c>
      <c r="I64" t="s">
        <v>74</v>
      </c>
      <c r="J64" t="s">
        <v>61</v>
      </c>
    </row>
    <row r="65" spans="1:10" x14ac:dyDescent="0.35">
      <c r="A65" t="s">
        <v>281</v>
      </c>
      <c r="B65" t="s">
        <v>143</v>
      </c>
      <c r="C65" t="s">
        <v>12</v>
      </c>
      <c r="D65" t="s">
        <v>282</v>
      </c>
      <c r="E65" t="s">
        <v>156</v>
      </c>
      <c r="F65" t="s">
        <v>283</v>
      </c>
      <c r="G65" t="s">
        <v>97</v>
      </c>
      <c r="H65" t="s">
        <v>67</v>
      </c>
      <c r="I65" t="s">
        <v>3</v>
      </c>
      <c r="J65" t="s">
        <v>61</v>
      </c>
    </row>
    <row r="66" spans="1:10" x14ac:dyDescent="0.35">
      <c r="A66" t="s">
        <v>284</v>
      </c>
      <c r="B66" t="s">
        <v>30</v>
      </c>
      <c r="C66" t="s">
        <v>93</v>
      </c>
      <c r="D66" t="s">
        <v>285</v>
      </c>
      <c r="E66" t="s">
        <v>152</v>
      </c>
      <c r="F66" t="s">
        <v>286</v>
      </c>
      <c r="G66" t="s">
        <v>26</v>
      </c>
      <c r="H66" t="s">
        <v>17</v>
      </c>
      <c r="I66" t="s">
        <v>18</v>
      </c>
      <c r="J66" t="s">
        <v>45</v>
      </c>
    </row>
    <row r="67" spans="1:10" x14ac:dyDescent="0.35">
      <c r="A67" t="s">
        <v>287</v>
      </c>
      <c r="B67" t="s">
        <v>82</v>
      </c>
      <c r="C67" t="s">
        <v>48</v>
      </c>
      <c r="D67" t="s">
        <v>288</v>
      </c>
      <c r="E67" t="s">
        <v>270</v>
      </c>
      <c r="F67" t="s">
        <v>289</v>
      </c>
      <c r="G67" t="s">
        <v>16</v>
      </c>
      <c r="H67" t="s">
        <v>17</v>
      </c>
      <c r="I67" t="s">
        <v>74</v>
      </c>
      <c r="J67" t="s">
        <v>45</v>
      </c>
    </row>
    <row r="68" spans="1:10" x14ac:dyDescent="0.35">
      <c r="A68" t="s">
        <v>290</v>
      </c>
      <c r="B68" t="s">
        <v>82</v>
      </c>
      <c r="C68" t="s">
        <v>160</v>
      </c>
      <c r="D68" t="s">
        <v>291</v>
      </c>
      <c r="E68" t="s">
        <v>292</v>
      </c>
      <c r="F68" t="s">
        <v>293</v>
      </c>
      <c r="G68" t="s">
        <v>97</v>
      </c>
      <c r="H68" t="s">
        <v>27</v>
      </c>
      <c r="I68" t="s">
        <v>68</v>
      </c>
      <c r="J68" t="s">
        <v>28</v>
      </c>
    </row>
    <row r="69" spans="1:10" x14ac:dyDescent="0.35">
      <c r="A69" t="s">
        <v>294</v>
      </c>
      <c r="B69" t="s">
        <v>11</v>
      </c>
      <c r="C69" t="s">
        <v>12</v>
      </c>
      <c r="D69" t="s">
        <v>295</v>
      </c>
      <c r="E69" t="s">
        <v>112</v>
      </c>
      <c r="F69" t="s">
        <v>296</v>
      </c>
      <c r="G69" t="s">
        <v>52</v>
      </c>
      <c r="H69" t="s">
        <v>17</v>
      </c>
      <c r="I69" t="s">
        <v>125</v>
      </c>
      <c r="J69" t="s">
        <v>37</v>
      </c>
    </row>
    <row r="70" spans="1:10" x14ac:dyDescent="0.35">
      <c r="A70" t="s">
        <v>297</v>
      </c>
      <c r="B70" t="s">
        <v>21</v>
      </c>
      <c r="C70" t="s">
        <v>31</v>
      </c>
      <c r="D70" t="s">
        <v>298</v>
      </c>
      <c r="E70" t="s">
        <v>24</v>
      </c>
      <c r="F70" t="s">
        <v>299</v>
      </c>
      <c r="G70" t="s">
        <v>35</v>
      </c>
      <c r="H70" t="s">
        <v>27</v>
      </c>
      <c r="I70" t="s">
        <v>44</v>
      </c>
      <c r="J70" t="s">
        <v>37</v>
      </c>
    </row>
    <row r="71" spans="1:10" x14ac:dyDescent="0.35">
      <c r="A71" t="s">
        <v>300</v>
      </c>
      <c r="B71" t="s">
        <v>138</v>
      </c>
      <c r="C71" t="s">
        <v>119</v>
      </c>
      <c r="D71" t="s">
        <v>301</v>
      </c>
      <c r="E71" t="s">
        <v>140</v>
      </c>
      <c r="F71" t="s">
        <v>302</v>
      </c>
      <c r="G71" t="s">
        <v>26</v>
      </c>
      <c r="H71" t="s">
        <v>129</v>
      </c>
      <c r="I71" t="s">
        <v>74</v>
      </c>
      <c r="J71" t="s">
        <v>136</v>
      </c>
    </row>
    <row r="72" spans="1:10" x14ac:dyDescent="0.35">
      <c r="A72" t="s">
        <v>303</v>
      </c>
      <c r="B72" t="s">
        <v>82</v>
      </c>
      <c r="C72" t="s">
        <v>31</v>
      </c>
      <c r="D72" t="s">
        <v>304</v>
      </c>
      <c r="E72" t="s">
        <v>84</v>
      </c>
      <c r="F72" t="s">
        <v>305</v>
      </c>
      <c r="G72" t="s">
        <v>114</v>
      </c>
      <c r="H72" t="s">
        <v>60</v>
      </c>
      <c r="I72" t="s">
        <v>125</v>
      </c>
      <c r="J72" t="s">
        <v>28</v>
      </c>
    </row>
    <row r="73" spans="1:10" x14ac:dyDescent="0.35">
      <c r="A73" t="s">
        <v>306</v>
      </c>
      <c r="B73" t="s">
        <v>82</v>
      </c>
      <c r="C73" t="s">
        <v>31</v>
      </c>
      <c r="D73" t="s">
        <v>307</v>
      </c>
      <c r="E73" t="s">
        <v>84</v>
      </c>
      <c r="F73" t="s">
        <v>308</v>
      </c>
      <c r="G73" t="s">
        <v>35</v>
      </c>
      <c r="H73" t="s">
        <v>129</v>
      </c>
      <c r="I73" t="s">
        <v>36</v>
      </c>
      <c r="J73" t="s">
        <v>19</v>
      </c>
    </row>
    <row r="74" spans="1:10" x14ac:dyDescent="0.35">
      <c r="A74" t="s">
        <v>309</v>
      </c>
      <c r="B74" t="s">
        <v>47</v>
      </c>
      <c r="C74" t="s">
        <v>93</v>
      </c>
      <c r="D74" t="s">
        <v>310</v>
      </c>
      <c r="E74" t="s">
        <v>311</v>
      </c>
      <c r="F74" t="s">
        <v>312</v>
      </c>
      <c r="G74" t="s">
        <v>114</v>
      </c>
      <c r="H74" t="s">
        <v>67</v>
      </c>
      <c r="I74" t="s">
        <v>18</v>
      </c>
      <c r="J74" t="s">
        <v>136</v>
      </c>
    </row>
    <row r="75" spans="1:10" x14ac:dyDescent="0.35">
      <c r="A75" t="s">
        <v>313</v>
      </c>
      <c r="B75" t="s">
        <v>82</v>
      </c>
      <c r="C75" t="s">
        <v>12</v>
      </c>
      <c r="D75" t="s">
        <v>314</v>
      </c>
      <c r="E75" t="s">
        <v>84</v>
      </c>
      <c r="F75" t="s">
        <v>315</v>
      </c>
      <c r="G75" t="s">
        <v>26</v>
      </c>
      <c r="H75" t="s">
        <v>53</v>
      </c>
      <c r="I75" t="s">
        <v>3</v>
      </c>
      <c r="J75" t="s">
        <v>61</v>
      </c>
    </row>
    <row r="76" spans="1:10" x14ac:dyDescent="0.35">
      <c r="A76" t="s">
        <v>316</v>
      </c>
      <c r="B76" t="s">
        <v>39</v>
      </c>
      <c r="C76" t="s">
        <v>31</v>
      </c>
      <c r="D76" t="s">
        <v>317</v>
      </c>
      <c r="E76" t="s">
        <v>240</v>
      </c>
      <c r="F76" t="s">
        <v>318</v>
      </c>
      <c r="G76" t="s">
        <v>66</v>
      </c>
      <c r="H76" t="s">
        <v>27</v>
      </c>
      <c r="I76" t="s">
        <v>36</v>
      </c>
      <c r="J76" t="s">
        <v>37</v>
      </c>
    </row>
    <row r="77" spans="1:10" x14ac:dyDescent="0.35">
      <c r="A77" t="s">
        <v>319</v>
      </c>
      <c r="B77" t="s">
        <v>82</v>
      </c>
      <c r="C77" t="s">
        <v>119</v>
      </c>
      <c r="D77" t="s">
        <v>320</v>
      </c>
      <c r="E77" t="s">
        <v>292</v>
      </c>
      <c r="F77" t="s">
        <v>321</v>
      </c>
      <c r="G77" t="s">
        <v>26</v>
      </c>
      <c r="H77" t="s">
        <v>60</v>
      </c>
      <c r="I77" t="s">
        <v>36</v>
      </c>
      <c r="J77" t="s">
        <v>28</v>
      </c>
    </row>
    <row r="78" spans="1:10" x14ac:dyDescent="0.35">
      <c r="A78" t="s">
        <v>322</v>
      </c>
      <c r="B78" t="s">
        <v>47</v>
      </c>
      <c r="C78" t="s">
        <v>22</v>
      </c>
      <c r="D78" t="s">
        <v>323</v>
      </c>
      <c r="E78" t="s">
        <v>50</v>
      </c>
      <c r="F78" t="s">
        <v>324</v>
      </c>
      <c r="G78" t="s">
        <v>66</v>
      </c>
      <c r="H78" t="s">
        <v>53</v>
      </c>
      <c r="I78" t="s">
        <v>68</v>
      </c>
      <c r="J78" t="s">
        <v>61</v>
      </c>
    </row>
    <row r="79" spans="1:10" x14ac:dyDescent="0.35">
      <c r="A79" t="s">
        <v>325</v>
      </c>
      <c r="B79" t="s">
        <v>11</v>
      </c>
      <c r="C79" t="s">
        <v>93</v>
      </c>
      <c r="D79" t="s">
        <v>326</v>
      </c>
      <c r="E79" t="s">
        <v>64</v>
      </c>
      <c r="F79" t="s">
        <v>327</v>
      </c>
      <c r="G79" t="s">
        <v>158</v>
      </c>
      <c r="H79" t="s">
        <v>129</v>
      </c>
      <c r="I79" t="s">
        <v>68</v>
      </c>
      <c r="J79" t="s">
        <v>136</v>
      </c>
    </row>
    <row r="80" spans="1:10" x14ac:dyDescent="0.35">
      <c r="A80" t="s">
        <v>328</v>
      </c>
      <c r="B80" t="s">
        <v>143</v>
      </c>
      <c r="C80" t="s">
        <v>12</v>
      </c>
      <c r="D80" t="s">
        <v>329</v>
      </c>
      <c r="E80" t="s">
        <v>156</v>
      </c>
      <c r="F80" t="s">
        <v>330</v>
      </c>
      <c r="G80" t="s">
        <v>59</v>
      </c>
      <c r="H80" t="s">
        <v>80</v>
      </c>
      <c r="I80" t="s">
        <v>68</v>
      </c>
      <c r="J80" t="s">
        <v>136</v>
      </c>
    </row>
    <row r="81" spans="1:10" x14ac:dyDescent="0.35">
      <c r="A81" t="s">
        <v>331</v>
      </c>
      <c r="B81" t="s">
        <v>138</v>
      </c>
      <c r="C81" t="s">
        <v>160</v>
      </c>
      <c r="D81" t="s">
        <v>332</v>
      </c>
      <c r="E81" t="s">
        <v>204</v>
      </c>
      <c r="F81" t="s">
        <v>333</v>
      </c>
      <c r="G81" t="s">
        <v>97</v>
      </c>
      <c r="H81" t="s">
        <v>17</v>
      </c>
      <c r="I81" t="s">
        <v>18</v>
      </c>
      <c r="J81" t="s">
        <v>45</v>
      </c>
    </row>
    <row r="82" spans="1:10" x14ac:dyDescent="0.35">
      <c r="A82" t="s">
        <v>334</v>
      </c>
      <c r="B82" t="s">
        <v>82</v>
      </c>
      <c r="C82" t="s">
        <v>12</v>
      </c>
      <c r="D82" t="s">
        <v>335</v>
      </c>
      <c r="E82" t="s">
        <v>189</v>
      </c>
      <c r="F82" t="s">
        <v>336</v>
      </c>
      <c r="G82" t="s">
        <v>66</v>
      </c>
      <c r="H82" t="s">
        <v>129</v>
      </c>
      <c r="I82" t="s">
        <v>18</v>
      </c>
      <c r="J82" t="s">
        <v>37</v>
      </c>
    </row>
    <row r="83" spans="1:10" x14ac:dyDescent="0.35">
      <c r="A83" t="s">
        <v>337</v>
      </c>
      <c r="B83" t="s">
        <v>39</v>
      </c>
      <c r="C83" t="s">
        <v>93</v>
      </c>
      <c r="D83" t="s">
        <v>338</v>
      </c>
      <c r="E83" t="s">
        <v>240</v>
      </c>
      <c r="F83" t="s">
        <v>339</v>
      </c>
      <c r="G83" t="s">
        <v>86</v>
      </c>
      <c r="H83" t="s">
        <v>27</v>
      </c>
      <c r="I83" t="s">
        <v>98</v>
      </c>
      <c r="J83" t="s">
        <v>61</v>
      </c>
    </row>
    <row r="84" spans="1:10" x14ac:dyDescent="0.35">
      <c r="A84" t="s">
        <v>340</v>
      </c>
      <c r="B84" t="s">
        <v>92</v>
      </c>
      <c r="C84" t="s">
        <v>22</v>
      </c>
      <c r="D84" t="s">
        <v>341</v>
      </c>
      <c r="E84" t="s">
        <v>168</v>
      </c>
      <c r="F84" t="s">
        <v>342</v>
      </c>
      <c r="G84" t="s">
        <v>114</v>
      </c>
      <c r="H84" t="s">
        <v>53</v>
      </c>
      <c r="I84" t="s">
        <v>125</v>
      </c>
      <c r="J84" t="s">
        <v>37</v>
      </c>
    </row>
    <row r="85" spans="1:10" x14ac:dyDescent="0.35">
      <c r="A85" t="s">
        <v>343</v>
      </c>
      <c r="B85" t="s">
        <v>92</v>
      </c>
      <c r="C85" t="s">
        <v>93</v>
      </c>
      <c r="D85" t="s">
        <v>344</v>
      </c>
      <c r="E85" t="s">
        <v>168</v>
      </c>
      <c r="F85" t="s">
        <v>345</v>
      </c>
      <c r="G85" t="s">
        <v>86</v>
      </c>
      <c r="H85" t="s">
        <v>129</v>
      </c>
      <c r="I85" t="s">
        <v>36</v>
      </c>
      <c r="J85" t="s">
        <v>45</v>
      </c>
    </row>
    <row r="86" spans="1:10" x14ac:dyDescent="0.35">
      <c r="A86" t="s">
        <v>346</v>
      </c>
      <c r="B86" t="s">
        <v>30</v>
      </c>
      <c r="C86" t="s">
        <v>48</v>
      </c>
      <c r="D86" t="s">
        <v>347</v>
      </c>
      <c r="E86" t="s">
        <v>33</v>
      </c>
      <c r="F86" t="s">
        <v>348</v>
      </c>
      <c r="G86" t="s">
        <v>158</v>
      </c>
      <c r="H86" t="s">
        <v>60</v>
      </c>
      <c r="I86" t="s">
        <v>98</v>
      </c>
      <c r="J86" t="s">
        <v>136</v>
      </c>
    </row>
    <row r="87" spans="1:10" x14ac:dyDescent="0.35">
      <c r="A87" t="s">
        <v>349</v>
      </c>
      <c r="B87" t="s">
        <v>21</v>
      </c>
      <c r="C87" t="s">
        <v>22</v>
      </c>
      <c r="D87" t="s">
        <v>350</v>
      </c>
      <c r="E87" t="s">
        <v>263</v>
      </c>
      <c r="F87" t="s">
        <v>351</v>
      </c>
      <c r="G87" t="s">
        <v>35</v>
      </c>
      <c r="H87" t="s">
        <v>27</v>
      </c>
      <c r="I87" t="s">
        <v>68</v>
      </c>
      <c r="J87" t="s">
        <v>61</v>
      </c>
    </row>
    <row r="88" spans="1:10" x14ac:dyDescent="0.35">
      <c r="A88" t="s">
        <v>352</v>
      </c>
      <c r="B88" t="s">
        <v>39</v>
      </c>
      <c r="C88" t="s">
        <v>48</v>
      </c>
      <c r="D88" t="s">
        <v>353</v>
      </c>
      <c r="E88" t="s">
        <v>221</v>
      </c>
      <c r="F88" t="s">
        <v>354</v>
      </c>
      <c r="G88" t="s">
        <v>59</v>
      </c>
      <c r="H88" t="s">
        <v>53</v>
      </c>
      <c r="I88" t="s">
        <v>98</v>
      </c>
      <c r="J88" t="s">
        <v>136</v>
      </c>
    </row>
    <row r="89" spans="1:10" x14ac:dyDescent="0.35">
      <c r="A89" t="s">
        <v>355</v>
      </c>
      <c r="B89" t="s">
        <v>11</v>
      </c>
      <c r="C89" t="s">
        <v>12</v>
      </c>
      <c r="D89" t="s">
        <v>356</v>
      </c>
      <c r="E89" t="s">
        <v>172</v>
      </c>
      <c r="F89" t="s">
        <v>357</v>
      </c>
      <c r="G89" t="s">
        <v>26</v>
      </c>
      <c r="H89" t="s">
        <v>67</v>
      </c>
      <c r="I89" t="s">
        <v>3</v>
      </c>
      <c r="J89" t="s">
        <v>37</v>
      </c>
    </row>
    <row r="90" spans="1:10" x14ac:dyDescent="0.35">
      <c r="A90" t="s">
        <v>358</v>
      </c>
      <c r="B90" t="s">
        <v>82</v>
      </c>
      <c r="C90" t="s">
        <v>160</v>
      </c>
      <c r="D90" t="s">
        <v>359</v>
      </c>
      <c r="E90" t="s">
        <v>270</v>
      </c>
      <c r="F90" t="s">
        <v>360</v>
      </c>
      <c r="G90" t="s">
        <v>97</v>
      </c>
      <c r="H90" t="s">
        <v>53</v>
      </c>
      <c r="I90" t="s">
        <v>125</v>
      </c>
      <c r="J90" t="s">
        <v>19</v>
      </c>
    </row>
    <row r="91" spans="1:10" x14ac:dyDescent="0.35">
      <c r="A91" t="s">
        <v>361</v>
      </c>
      <c r="B91" t="s">
        <v>39</v>
      </c>
      <c r="C91" t="s">
        <v>93</v>
      </c>
      <c r="D91" t="s">
        <v>362</v>
      </c>
      <c r="E91" t="s">
        <v>221</v>
      </c>
      <c r="F91" t="s">
        <v>363</v>
      </c>
      <c r="G91" t="s">
        <v>97</v>
      </c>
      <c r="H91" t="s">
        <v>17</v>
      </c>
      <c r="I91" t="s">
        <v>68</v>
      </c>
      <c r="J91" t="s">
        <v>45</v>
      </c>
    </row>
    <row r="92" spans="1:10" x14ac:dyDescent="0.35">
      <c r="A92" t="s">
        <v>364</v>
      </c>
      <c r="B92" t="s">
        <v>30</v>
      </c>
      <c r="C92" t="s">
        <v>76</v>
      </c>
      <c r="D92" t="s">
        <v>365</v>
      </c>
      <c r="E92" t="s">
        <v>71</v>
      </c>
      <c r="F92" t="s">
        <v>366</v>
      </c>
      <c r="G92" t="s">
        <v>97</v>
      </c>
      <c r="H92" t="s">
        <v>17</v>
      </c>
      <c r="I92" t="s">
        <v>74</v>
      </c>
      <c r="J92" t="s">
        <v>61</v>
      </c>
    </row>
    <row r="93" spans="1:10" x14ac:dyDescent="0.35">
      <c r="A93" t="s">
        <v>367</v>
      </c>
      <c r="B93" t="s">
        <v>11</v>
      </c>
      <c r="C93" t="s">
        <v>160</v>
      </c>
      <c r="D93" t="s">
        <v>368</v>
      </c>
      <c r="E93" t="s">
        <v>172</v>
      </c>
      <c r="F93" t="s">
        <v>369</v>
      </c>
      <c r="G93" t="s">
        <v>52</v>
      </c>
      <c r="H93" t="s">
        <v>53</v>
      </c>
      <c r="I93" t="s">
        <v>74</v>
      </c>
      <c r="J93" t="s">
        <v>136</v>
      </c>
    </row>
    <row r="94" spans="1:10" x14ac:dyDescent="0.35">
      <c r="A94" t="s">
        <v>370</v>
      </c>
      <c r="B94" t="s">
        <v>82</v>
      </c>
      <c r="C94" t="s">
        <v>12</v>
      </c>
      <c r="D94" t="s">
        <v>371</v>
      </c>
      <c r="E94" t="s">
        <v>292</v>
      </c>
      <c r="F94" t="s">
        <v>372</v>
      </c>
      <c r="G94" t="s">
        <v>26</v>
      </c>
      <c r="H94" t="s">
        <v>73</v>
      </c>
      <c r="I94" t="s">
        <v>44</v>
      </c>
      <c r="J94" t="s">
        <v>28</v>
      </c>
    </row>
    <row r="95" spans="1:10" x14ac:dyDescent="0.35">
      <c r="A95" t="s">
        <v>373</v>
      </c>
      <c r="B95" t="s">
        <v>21</v>
      </c>
      <c r="C95" t="s">
        <v>12</v>
      </c>
      <c r="D95" t="s">
        <v>374</v>
      </c>
      <c r="E95" t="s">
        <v>263</v>
      </c>
      <c r="F95" t="s">
        <v>375</v>
      </c>
      <c r="G95" t="s">
        <v>158</v>
      </c>
      <c r="H95" t="s">
        <v>27</v>
      </c>
      <c r="I95" t="s">
        <v>18</v>
      </c>
      <c r="J95" t="s">
        <v>136</v>
      </c>
    </row>
    <row r="96" spans="1:10" x14ac:dyDescent="0.35">
      <c r="A96" t="s">
        <v>376</v>
      </c>
      <c r="B96" t="s">
        <v>143</v>
      </c>
      <c r="C96" t="s">
        <v>160</v>
      </c>
      <c r="D96" t="s">
        <v>377</v>
      </c>
      <c r="E96" t="s">
        <v>193</v>
      </c>
      <c r="F96" t="s">
        <v>378</v>
      </c>
      <c r="G96" t="s">
        <v>52</v>
      </c>
      <c r="H96" t="s">
        <v>60</v>
      </c>
      <c r="I96" t="s">
        <v>36</v>
      </c>
      <c r="J96" t="s">
        <v>136</v>
      </c>
    </row>
    <row r="97" spans="1:10" x14ac:dyDescent="0.35">
      <c r="A97" t="s">
        <v>379</v>
      </c>
      <c r="B97" t="s">
        <v>138</v>
      </c>
      <c r="C97" t="s">
        <v>119</v>
      </c>
      <c r="D97" t="s">
        <v>380</v>
      </c>
      <c r="E97" t="s">
        <v>208</v>
      </c>
      <c r="F97" t="s">
        <v>381</v>
      </c>
      <c r="G97" t="s">
        <v>66</v>
      </c>
      <c r="H97" t="s">
        <v>129</v>
      </c>
      <c r="I97" t="s">
        <v>3</v>
      </c>
      <c r="J97" t="s">
        <v>19</v>
      </c>
    </row>
    <row r="98" spans="1:10" x14ac:dyDescent="0.35">
      <c r="A98" t="s">
        <v>382</v>
      </c>
      <c r="B98" t="s">
        <v>103</v>
      </c>
      <c r="C98" t="s">
        <v>48</v>
      </c>
      <c r="D98" t="s">
        <v>383</v>
      </c>
      <c r="E98" t="s">
        <v>384</v>
      </c>
      <c r="F98" t="s">
        <v>385</v>
      </c>
      <c r="G98" t="s">
        <v>59</v>
      </c>
      <c r="H98" t="s">
        <v>53</v>
      </c>
      <c r="I98" t="s">
        <v>125</v>
      </c>
      <c r="J98" t="s">
        <v>37</v>
      </c>
    </row>
    <row r="99" spans="1:10" x14ac:dyDescent="0.35">
      <c r="A99" t="s">
        <v>386</v>
      </c>
      <c r="B99" t="s">
        <v>143</v>
      </c>
      <c r="C99" t="s">
        <v>93</v>
      </c>
      <c r="D99" t="s">
        <v>387</v>
      </c>
      <c r="E99" t="s">
        <v>388</v>
      </c>
      <c r="F99" t="s">
        <v>389</v>
      </c>
      <c r="G99" t="s">
        <v>86</v>
      </c>
      <c r="H99" t="s">
        <v>27</v>
      </c>
      <c r="I99" t="s">
        <v>68</v>
      </c>
      <c r="J99" t="s">
        <v>19</v>
      </c>
    </row>
    <row r="100" spans="1:10" x14ac:dyDescent="0.35">
      <c r="A100" t="s">
        <v>390</v>
      </c>
      <c r="B100" t="s">
        <v>82</v>
      </c>
      <c r="C100" t="s">
        <v>31</v>
      </c>
      <c r="D100" t="s">
        <v>391</v>
      </c>
      <c r="E100" t="s">
        <v>84</v>
      </c>
      <c r="F100" t="s">
        <v>392</v>
      </c>
      <c r="G100" t="s">
        <v>114</v>
      </c>
      <c r="H100" t="s">
        <v>129</v>
      </c>
      <c r="I100" t="s">
        <v>98</v>
      </c>
      <c r="J100" t="s">
        <v>28</v>
      </c>
    </row>
    <row r="101" spans="1:10" x14ac:dyDescent="0.35">
      <c r="A101" t="s">
        <v>393</v>
      </c>
      <c r="B101" t="s">
        <v>138</v>
      </c>
      <c r="C101" t="s">
        <v>40</v>
      </c>
      <c r="D101" t="s">
        <v>394</v>
      </c>
      <c r="E101" t="s">
        <v>395</v>
      </c>
      <c r="F101" t="s">
        <v>396</v>
      </c>
      <c r="G101" t="s">
        <v>86</v>
      </c>
      <c r="H101" t="s">
        <v>129</v>
      </c>
      <c r="I101" t="s">
        <v>44</v>
      </c>
      <c r="J101" t="s">
        <v>45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DF2ADD-EF7B-4D09-9138-F9E2C6CA77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Table2</vt:lpstr>
      <vt:lpstr>Sheet1</vt:lpstr>
      <vt:lpstr>MessyData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safwam</cp:lastModifiedBy>
  <dcterms:created xsi:type="dcterms:W3CDTF">2026-04-01T15:05:26Z</dcterms:created>
  <dcterms:modified xsi:type="dcterms:W3CDTF">2026-10-16T18:04:23Z</dcterms:modified>
</cp:coreProperties>
</file>